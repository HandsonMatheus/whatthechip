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800" windowHeight="10140" tabRatio="500" firstSheet="5" activeTab="8"/>
  </bookViews>
  <sheets>
    <sheet name="Samsung" sheetId="1" r:id="rId1"/>
    <sheet name="SK Hynix" sheetId="2" r:id="rId2"/>
    <sheet name="Micron" sheetId="3" r:id="rId3"/>
    <sheet name="Kingston" sheetId="4" r:id="rId4"/>
    <sheet name="Toshiba Kioxia" sheetId="5" r:id="rId5"/>
    <sheet name="SanDisk" sheetId="6" r:id="rId6"/>
    <sheet name="Nanya" sheetId="7" r:id="rId7"/>
    <sheet name="Other Brands" sheetId="8" r:id="rId8"/>
    <sheet name="Instructions" sheetId="9" r:id="rId9"/>
    <sheet name="Sheet1" sheetId="10" r:id="rId10"/>
  </sheets>
  <definedNames>
    <definedName name="_xlnm._FilterDatabase" localSheetId="0" hidden="1">Samsung!$A$3:$I$86</definedName>
    <definedName name="_xlnm._FilterDatabase" localSheetId="1" hidden="1">'SK Hynix'!$A$3:$I$77</definedName>
    <definedName name="_xlnm._FilterDatabase" localSheetId="2" hidden="1">Micron!$A$3:$I$66</definedName>
    <definedName name="_xlnm._FilterDatabase" localSheetId="3" hidden="1">Kingston!$A$3:$I$15</definedName>
    <definedName name="_xlnm._FilterDatabase" localSheetId="4" hidden="1">'Toshiba Kioxia'!$A$3:$I$15</definedName>
    <definedName name="_xlnm._FilterDatabase" localSheetId="5" hidden="1">SanDisk!$A$3:$I$19</definedName>
    <definedName name="_xlnm._FilterDatabase" localSheetId="6" hidden="1">Nanya!$A$3:$I$17</definedName>
    <definedName name="_xlnm._FilterDatabase" localSheetId="7" hidden="1">'Other Brands'!$A$3:$I$74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<sst xmlns="http://schemas.openxmlformats.org/spreadsheetml/2006/main" count="1832" uniqueCount="145">
  <si>
    <t>Samsung — chip sell price (per unit)</t>
  </si>
  <si>
    <t>Exchange rate  1 RMB =</t>
  </si>
  <si>
    <t>USD (editable). ★Yellow cells = please fill in (RMB price + quote date); USD auto-calculates.</t>
  </si>
  <si>
    <t>Brand</t>
  </si>
  <si>
    <t>Type</t>
  </si>
  <si>
    <t>Subtype</t>
  </si>
  <si>
    <t>Capacity</t>
  </si>
  <si>
    <t>Price (USD)</t>
  </si>
  <si>
    <t>★Price (RMB)</t>
  </si>
  <si>
    <t>★Quote date</t>
  </si>
  <si>
    <t>Source</t>
  </si>
  <si>
    <t>Notes</t>
  </si>
  <si>
    <t>Samsung</t>
  </si>
  <si>
    <t>eMMC</t>
  </si>
  <si>
    <t>—</t>
  </si>
  <si>
    <t>4GB</t>
  </si>
  <si>
    <t>Market price may change; for reference only</t>
  </si>
  <si>
    <t>8GB</t>
  </si>
  <si>
    <t>Actual price prevails</t>
  </si>
  <si>
    <t>16GB</t>
  </si>
  <si>
    <t>32GB</t>
  </si>
  <si>
    <t>64GB</t>
  </si>
  <si>
    <t>128GB</t>
  </si>
  <si>
    <t>256GB</t>
  </si>
  <si>
    <t>UFS</t>
  </si>
  <si>
    <t>512GB</t>
  </si>
  <si>
    <t>1TB</t>
  </si>
  <si>
    <t>eMCP</t>
  </si>
  <si>
    <t>LPDDR3</t>
  </si>
  <si>
    <t>8+1</t>
  </si>
  <si>
    <t>16+1</t>
  </si>
  <si>
    <t>3.00-3.45</t>
  </si>
  <si>
    <t>20-23</t>
  </si>
  <si>
    <t>16+2</t>
  </si>
  <si>
    <t>32+2</t>
  </si>
  <si>
    <t>6.00-7.50</t>
  </si>
  <si>
    <t>40-50</t>
  </si>
  <si>
    <t>32+3</t>
  </si>
  <si>
    <t>64+3</t>
  </si>
  <si>
    <t>13.50-16.50</t>
  </si>
  <si>
    <t>90-110</t>
  </si>
  <si>
    <t>64+4</t>
  </si>
  <si>
    <t>LPDDR4</t>
  </si>
  <si>
    <t>32+4</t>
  </si>
  <si>
    <t>LPDDR4X</t>
  </si>
  <si>
    <t>128+4</t>
  </si>
  <si>
    <t>15.00-18.00</t>
  </si>
  <si>
    <t>100-120</t>
  </si>
  <si>
    <t>128+6</t>
  </si>
  <si>
    <t>128+8</t>
  </si>
  <si>
    <t>uMCP</t>
  </si>
  <si>
    <t>LPDDR5</t>
  </si>
  <si>
    <t>256+8</t>
  </si>
  <si>
    <t>17.25-18.75</t>
  </si>
  <si>
    <t>115-125</t>
  </si>
  <si>
    <t>LPDDR5X</t>
  </si>
  <si>
    <t>15.00-17.25</t>
  </si>
  <si>
    <t>100-115</t>
  </si>
  <si>
    <t>256+12</t>
  </si>
  <si>
    <t>512+12</t>
  </si>
  <si>
    <t>18.75-20.25</t>
  </si>
  <si>
    <t>125-135</t>
  </si>
  <si>
    <t>LPDDR</t>
  </si>
  <si>
    <t>1GB</t>
  </si>
  <si>
    <t>2GB</t>
  </si>
  <si>
    <t>3GB</t>
  </si>
  <si>
    <t>6GB</t>
  </si>
  <si>
    <t>12GB</t>
  </si>
  <si>
    <t>DDR</t>
  </si>
  <si>
    <t>DDR3</t>
  </si>
  <si>
    <t>2Gb</t>
  </si>
  <si>
    <t>4Gb</t>
  </si>
  <si>
    <t>8Gb</t>
  </si>
  <si>
    <t>DDR3L</t>
  </si>
  <si>
    <t>DDR4</t>
  </si>
  <si>
    <t>16Gb</t>
  </si>
  <si>
    <t>DDR5</t>
  </si>
  <si>
    <t>24Gb</t>
  </si>
  <si>
    <t>GDDR</t>
  </si>
  <si>
    <t>GDDR3</t>
  </si>
  <si>
    <t>1Gb</t>
  </si>
  <si>
    <t>NO</t>
  </si>
  <si>
    <t>GDDR5</t>
  </si>
  <si>
    <t>GDDR6</t>
  </si>
  <si>
    <t>Added quote 2026-07-04</t>
  </si>
  <si>
    <t>SK Hynix — chip sell price (per unit)</t>
  </si>
  <si>
    <t>SK Hynix</t>
  </si>
  <si>
    <t>Same price as Samsung</t>
  </si>
  <si>
    <t>64+6</t>
  </si>
  <si>
    <t>512+16</t>
  </si>
  <si>
    <t>32Gb</t>
  </si>
  <si>
    <t>64Gb</t>
  </si>
  <si>
    <t>Micron — chip sell price (per unit)</t>
  </si>
  <si>
    <t>Micron</t>
  </si>
  <si>
    <t>GDDR6X</t>
  </si>
  <si>
    <t>Kingston — chip sell price (per unit)</t>
  </si>
  <si>
    <t>Kingston</t>
  </si>
  <si>
    <t>Toshiba/Kioxia — chip sell price (per unit)</t>
  </si>
  <si>
    <t>Toshiba/Kioxia</t>
  </si>
  <si>
    <t>SanDisk — chip sell price (per unit)</t>
  </si>
  <si>
    <t>SanDisk</t>
  </si>
  <si>
    <t>Nanya — chip sell price (per unit)</t>
  </si>
  <si>
    <t>Nanya</t>
  </si>
  <si>
    <t>Other Brands — chip sell price (per unit)</t>
  </si>
  <si>
    <t>Rayson</t>
  </si>
  <si>
    <t>Added quote 2026-07-04 (Rayson)</t>
  </si>
  <si>
    <t>WhatTheChip — price key &amp; rules</t>
  </si>
  <si>
    <t>★ Yellow cells = please fill in. Prices are per chip; enter RMB first, USD auto-calculates.</t>
  </si>
  <si>
    <t>How the price is determined</t>
  </si>
  <si>
    <t>1. Brand ▸</t>
  </si>
  <si>
    <t>2. Type ▸</t>
  </si>
  <si>
    <t>3. Subtype ▸</t>
  </si>
  <si>
    <t>4. Capacity ▸</t>
  </si>
  <si>
    <t>→ Price (per unit · USD) + date</t>
  </si>
  <si>
    <t>Narrow down from brand to capacity; these four together map to one dated quote.</t>
  </si>
  <si>
    <t>If no exact quote — fallback order:</t>
  </si>
  <si>
    <t>Exact match  →  interpolate by capacity  →  ignore brand (use "Other Brands")  →  no quote (ask the buyer)</t>
  </si>
  <si>
    <t>Currency</t>
  </si>
  <si>
    <t>Prices are per chip. Enter the RMB price in the yellow cells; USD = RMB × rate. The rate (1 RMB = 0.15 USD) is at the top of each tab and is editable.</t>
  </si>
  <si>
    <t>Types each brand produces (only what they make)</t>
  </si>
  <si>
    <t>✓</t>
  </si>
  <si>
    <t>Other Brands</t>
  </si>
  <si>
    <t>Capacity notation by type</t>
  </si>
  <si>
    <t>Subtype =</t>
  </si>
  <si>
    <t>Capacity notation</t>
  </si>
  <si>
    <t>eMMC / UFS</t>
  </si>
  <si>
    <t>— (leave blank)</t>
  </si>
  <si>
    <t>GB, package capacity (16GB)</t>
  </si>
  <si>
    <t>specific generation</t>
  </si>
  <si>
    <t>GB, package capacity (4GB)</t>
  </si>
  <si>
    <t>eMCP / uMCP</t>
  </si>
  <si>
    <t>RAM generation</t>
  </si>
  <si>
    <t>NAND+RAM, in GB (16+1)</t>
  </si>
  <si>
    <t>DDR / GDDR</t>
  </si>
  <si>
    <t>generation (DDR4 / GDDR6)</t>
  </si>
  <si>
    <t>die density, in Gb (8Gb)</t>
  </si>
  <si>
    <t>Rules &amp; notes:</t>
  </si>
  <si>
    <t>• Each brand lists only the types it makes. Toshiba/Kioxia and SanDisk do not make DRAM (no DDR/LPDDR/GDDR); Nanya is DRAM only;</t>
  </si>
  <si>
    <t xml:space="preserve">  Kingston is packaged managed-NAND only (eMMC/eMCP) — its DDR/Fury are memory modules, not bare chips.</t>
  </si>
  <si>
    <t>• Only profitable ranges are listed: excluded are LPDDR1/2, DDR1/2, GDDR2, DDR3&lt;2Gb, eMMC&lt;4GB, and eMCP/uMCP with NAND&lt;8GB or RAM&lt;1GB.</t>
  </si>
  <si>
    <t xml:space="preserve">  Non-profitable chips are scrap and are not priced (pricing comes after the profitability check).</t>
  </si>
  <si>
    <t>• Brand = the marking printed on the chip, not the wafer/fab maker. Subtype = generation only.</t>
  </si>
  <si>
    <t>• "Other Brands" is for generic/off-brand makers (GigaDevice, ESMT, Winbond, ISSI, PieceMakers, etc.). Put the brand in column A.</t>
  </si>
  <si>
    <t>• eMCP/uMCP combos = real shipping configurations from the decode table; add/remove rows as needed.</t>
  </si>
  <si>
    <t>• Sources: populate_*.py, add_chip_families.py, SAMSUNG.md, SK_HYNIX.md, MICRON.md. Full design: PRECIFICACAO.md.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</si>
</sst>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US$&quot;#,##0.00"/>
    <numFmt numFmtId="177" formatCode="\¥#,##0.00"/>
    <numFmt numFmtId="178" formatCode="yyyy/mm/dd"/>
  </numFmts>
  <fonts count="40">
    <font>
      <sz val="11"/>
      <color theme="1"/>
      <name val="Calibri"/>
      <charset val="1"/>
    </font>
    <font>
      <b/>
      <sz val="13"/>
      <color rgb="FF22303F"/>
      <name val="Microsoft YaHei"/>
      <charset val="134"/>
    </font>
    <font>
      <b/>
      <sz val="10"/>
      <color rgb="FFB00020"/>
      <name val="Noto Sans CJK SC"/>
      <charset val="134"/>
    </font>
    <font>
      <b/>
      <sz val="11"/>
      <color rgb="FF1F2328"/>
      <name val="Noto Sans CJK SC"/>
      <charset val="134"/>
    </font>
    <font>
      <b/>
      <sz val="10"/>
      <color rgb="FF1F2328"/>
      <name val="Microsoft YaHei"/>
      <charset val="134"/>
    </font>
    <font>
      <b/>
      <sz val="10"/>
      <color rgb="FFFFFFFF"/>
      <name val="Microsoft YaHei"/>
      <charset val="134"/>
    </font>
    <font>
      <b/>
      <sz val="10"/>
      <color rgb="FFFFFFFF"/>
      <name val="Noto Sans CJK SC"/>
      <charset val="134"/>
    </font>
    <font>
      <i/>
      <sz val="9"/>
      <color rgb="FF697280"/>
      <name val="Noto Sans CJK SC"/>
      <charset val="134"/>
    </font>
    <font>
      <b/>
      <sz val="10"/>
      <color rgb="FF1F2328"/>
      <name val="Noto Sans CJK SC"/>
      <charset val="134"/>
    </font>
    <font>
      <sz val="10"/>
      <color rgb="FF1F2328"/>
      <name val="Noto Sans CJK SC"/>
      <charset val="134"/>
    </font>
    <font>
      <sz val="9"/>
      <color rgb="FF697280"/>
      <name val="Noto Sans CJK SC"/>
      <charset val="134"/>
    </font>
    <font>
      <sz val="10"/>
      <color rgb="FF1B5E20"/>
      <name val="Microsoft YaHei"/>
      <charset val="134"/>
    </font>
    <font>
      <sz val="10"/>
      <color rgb="FF1F2328"/>
      <name val="Microsoft YaHei"/>
      <charset val="134"/>
    </font>
    <font>
      <sz val="10"/>
      <color rgb="FF697280"/>
      <name val="Microsoft YaHei"/>
      <charset val="134"/>
    </font>
    <font>
      <sz val="9"/>
      <color rgb="FF697280"/>
      <name val="Microsoft YaHei"/>
      <charset val="134"/>
    </font>
    <font>
      <b/>
      <sz val="14"/>
      <color rgb="FF22303F"/>
      <name val="Noto Sans CJK SC"/>
      <charset val="134"/>
    </font>
    <font>
      <sz val="9"/>
      <color rgb="FFB00020"/>
      <name val="Noto Sans CJK SC"/>
      <charset val="134"/>
    </font>
    <font>
      <b/>
      <sz val="14"/>
      <color rgb="FF22303F"/>
      <name val="Microsoft YaHei"/>
      <charset val="134"/>
    </font>
    <font>
      <sz val="10"/>
      <color rgb="FF1F2328"/>
      <name val="Noto Sans CJK SC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E8F0FB"/>
        <bgColor rgb="FFF4F7FA"/>
      </patternFill>
    </fill>
    <fill>
      <patternFill patternType="solid">
        <fgColor rgb="FFC4D9F4"/>
        <bgColor rgb="FFD9DEE5"/>
      </patternFill>
    </fill>
    <fill>
      <patternFill patternType="solid">
        <fgColor rgb="FFA0C2ED"/>
        <bgColor rgb="FFC0C0C0"/>
      </patternFill>
    </fill>
    <fill>
      <patternFill patternType="solid">
        <fgColor rgb="FF7CABE6"/>
        <bgColor rgb="FF5894DF"/>
      </patternFill>
    </fill>
    <fill>
      <patternFill patternType="solid">
        <fgColor rgb="FF5894DF"/>
        <bgColor rgb="FF7CABE6"/>
      </patternFill>
    </fill>
    <fill>
      <patternFill patternType="solid">
        <fgColor rgb="FF22303F"/>
        <bgColor rgb="FF1F2328"/>
      </patternFill>
    </fill>
    <fill>
      <patternFill patternType="solid">
        <fgColor rgb="FFFFE69A"/>
        <bgColor rgb="FFFFCC99"/>
      </patternFill>
    </fill>
    <fill>
      <patternFill patternType="solid">
        <fgColor rgb="FFFFFFFF"/>
        <bgColor rgb="FFF4F7FA"/>
      </patternFill>
    </fill>
    <fill>
      <patternFill patternType="solid">
        <fgColor rgb="FFF4F7FA"/>
        <bgColor rgb="FFE8F0F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9" fillId="0" borderId="0" applyBorder="0" applyAlignment="0" applyProtection="0"/>
    <xf numFmtId="44" fontId="19" fillId="0" borderId="0" applyBorder="0" applyAlignment="0" applyProtection="0"/>
    <xf numFmtId="9" fontId="19" fillId="0" borderId="0" applyBorder="0" applyAlignment="0" applyProtection="0"/>
    <xf numFmtId="41" fontId="19" fillId="0" borderId="0" applyBorder="0" applyAlignment="0" applyProtection="0"/>
    <xf numFmtId="42" fontId="19" fillId="0" borderId="0" applyBorder="0" applyAlignment="0" applyProtection="0"/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2" borderId="5" applyNumberFormat="0" applyAlignment="0" applyProtection="0">
      <alignment vertical="center"/>
    </xf>
    <xf numFmtId="0" fontId="30" fillId="13" borderId="6" applyNumberFormat="0" applyAlignment="0" applyProtection="0">
      <alignment vertical="center"/>
    </xf>
    <xf numFmtId="0" fontId="31" fillId="13" borderId="5" applyNumberFormat="0" applyAlignment="0" applyProtection="0">
      <alignment vertical="center"/>
    </xf>
    <xf numFmtId="0" fontId="32" fillId="14" borderId="7" applyNumberFormat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</cellStyleXfs>
  <cellXfs count="39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6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9" fillId="0" borderId="1" xfId="0" applyFont="1" applyBorder="1" applyAlignment="1"/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/>
    <xf numFmtId="0" fontId="13" fillId="0" borderId="1" xfId="0" applyFont="1" applyBorder="1" applyAlignment="1">
      <alignment horizontal="center"/>
    </xf>
    <xf numFmtId="0" fontId="14" fillId="0" borderId="0" xfId="0" applyFont="1" applyAlignment="1"/>
    <xf numFmtId="0" fontId="15" fillId="0" borderId="0" xfId="0" applyFont="1" applyAlignment="1"/>
    <xf numFmtId="2" fontId="4" fillId="8" borderId="1" xfId="0" applyNumberFormat="1" applyFont="1" applyFill="1" applyBorder="1" applyAlignment="1"/>
    <xf numFmtId="0" fontId="16" fillId="0" borderId="0" xfId="0" applyFont="1" applyAlignment="1"/>
    <xf numFmtId="0" fontId="6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/>
    <xf numFmtId="0" fontId="4" fillId="9" borderId="1" xfId="0" applyFont="1" applyFill="1" applyBorder="1" applyAlignment="1"/>
    <xf numFmtId="0" fontId="12" fillId="9" borderId="1" xfId="0" applyFont="1" applyFill="1" applyBorder="1" applyAlignment="1"/>
    <xf numFmtId="176" fontId="12" fillId="9" borderId="1" xfId="0" applyNumberFormat="1" applyFont="1" applyFill="1" applyBorder="1" applyAlignment="1">
      <alignment horizontal="right"/>
    </xf>
    <xf numFmtId="177" fontId="12" fillId="8" borderId="1" xfId="0" applyNumberFormat="1" applyFont="1" applyFill="1" applyBorder="1" applyAlignment="1"/>
    <xf numFmtId="178" fontId="12" fillId="8" borderId="1" xfId="0" applyNumberFormat="1" applyFont="1" applyFill="1" applyBorder="1" applyAlignment="1"/>
    <xf numFmtId="0" fontId="9" fillId="9" borderId="1" xfId="0" applyFont="1" applyFill="1" applyBorder="1" applyAlignment="1"/>
    <xf numFmtId="0" fontId="4" fillId="10" borderId="1" xfId="0" applyFont="1" applyFill="1" applyBorder="1" applyAlignment="1"/>
    <xf numFmtId="0" fontId="12" fillId="10" borderId="1" xfId="0" applyFont="1" applyFill="1" applyBorder="1" applyAlignment="1"/>
    <xf numFmtId="176" fontId="12" fillId="10" borderId="1" xfId="0" applyNumberFormat="1" applyFont="1" applyFill="1" applyBorder="1" applyAlignment="1">
      <alignment horizontal="right"/>
    </xf>
    <xf numFmtId="0" fontId="9" fillId="10" borderId="1" xfId="0" applyFont="1" applyFill="1" applyBorder="1" applyAlignment="1"/>
    <xf numFmtId="0" fontId="17" fillId="0" borderId="0" xfId="0" applyFont="1" applyAlignment="1"/>
    <xf numFmtId="177" fontId="12" fillId="8" borderId="1" xfId="0" applyNumberFormat="1" applyFont="1" applyFill="1" applyBorder="1" applyAlignment="1">
      <alignment horizontal="center"/>
    </xf>
    <xf numFmtId="0" fontId="18" fillId="9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00020"/>
      <rgbColor rgb="001B5E20"/>
      <rgbColor rgb="00000080"/>
      <rgbColor rgb="00808000"/>
      <rgbColor rgb="00800080"/>
      <rgbColor rgb="00008080"/>
      <rgbColor rgb="00C0C0C0"/>
      <rgbColor rgb="005894DF"/>
      <rgbColor rgb="007CABE6"/>
      <rgbColor rgb="00993366"/>
      <rgbColor rgb="00F4F7FA"/>
      <rgbColor rgb="00E8F0FB"/>
      <rgbColor rgb="00660066"/>
      <rgbColor rgb="00FF8080"/>
      <rgbColor rgb="000066CC"/>
      <rgbColor rgb="00C4D9F4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9DEE5"/>
      <rgbColor rgb="00FFE69A"/>
      <rgbColor rgb="00A0C2ED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97280"/>
      <rgbColor rgb="00969696"/>
      <rgbColor rgb="00003366"/>
      <rgbColor rgb="00339966"/>
      <rgbColor rgb="00003300"/>
      <rgbColor rgb="001F2328"/>
      <rgbColor rgb="00993300"/>
      <rgbColor rgb="00993366"/>
      <rgbColor rgb="00333399"/>
      <rgbColor rgb="002230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6"/>
  <sheetViews>
    <sheetView workbookViewId="0">
      <pane ySplit="3" topLeftCell="A39" activePane="bottomLeft" state="frozen"/>
      <selection/>
      <selection pane="bottomLeft" activeCell="G69" sqref="G69"/>
    </sheetView>
  </sheetViews>
  <sheetFormatPr defaultColWidth="8.71875" defaultRowHeight="16.8"/>
  <cols>
    <col min="1" max="1" width="18" style="1" customWidth="1"/>
    <col min="2" max="2" width="8" style="1" customWidth="1"/>
    <col min="3" max="3" width="10" style="1" customWidth="1"/>
    <col min="4" max="4" width="12" style="1" customWidth="1"/>
    <col min="5" max="5" width="14" style="1" customWidth="1"/>
    <col min="6" max="6" width="16" style="1" customWidth="1"/>
    <col min="7" max="7" width="13" style="1" customWidth="1"/>
    <col min="8" max="8" width="31.25" style="1" customWidth="1"/>
    <col min="9" max="9" width="22" style="1" customWidth="1"/>
  </cols>
  <sheetData>
    <row r="1" ht="21" customHeight="1" spans="1:9">
      <c r="A1" s="21" t="s">
        <v>0</v>
      </c>
    </row>
    <row r="2" ht="16.5" customHeight="1" spans="1:9">
      <c r="A2" s="11" t="s">
        <v>1</v>
      </c>
      <c r="B2" s="22">
        <v>0.15</v>
      </c>
      <c r="C2" s="23" t="s">
        <v>2</v>
      </c>
    </row>
    <row r="3" ht="27.75" customHeight="1" spans="1:9">
      <c r="A3" s="24" t="s">
        <v>3</v>
      </c>
      <c r="B3" s="24" t="s">
        <v>4</v>
      </c>
      <c r="C3" s="24" t="s">
        <v>5</v>
      </c>
      <c r="D3" s="24" t="s">
        <v>6</v>
      </c>
      <c r="E3" s="24" t="s">
        <v>7</v>
      </c>
      <c r="F3" s="24" t="s">
        <v>8</v>
      </c>
      <c r="G3" s="24" t="s">
        <v>9</v>
      </c>
      <c r="H3" s="24" t="s">
        <v>10</v>
      </c>
      <c r="I3" s="24" t="s">
        <v>11</v>
      </c>
    </row>
    <row r="4" ht="16.5" customHeight="1" spans="1:9">
      <c r="A4" s="31" t="s">
        <v>12</v>
      </c>
      <c r="B4" s="26" t="s">
        <v>13</v>
      </c>
      <c r="C4" s="27" t="s">
        <v>14</v>
      </c>
      <c r="D4" s="27" t="s">
        <v>15</v>
      </c>
      <c r="E4" s="28">
        <f t="shared" ref="E4:E17" si="0">IF($F4="","",$F4*$B$2)</f>
        <v>0.75</v>
      </c>
      <c r="F4" s="37">
        <v>5</v>
      </c>
      <c r="G4" s="30">
        <v>46202.29</v>
      </c>
      <c r="H4" s="38" t="s">
        <v>16</v>
      </c>
      <c r="I4" s="31"/>
    </row>
    <row r="5" ht="16.5" customHeight="1" spans="1:9">
      <c r="A5" s="31" t="s">
        <v>12</v>
      </c>
      <c r="B5" s="26" t="s">
        <v>13</v>
      </c>
      <c r="C5" s="27" t="s">
        <v>14</v>
      </c>
      <c r="D5" s="27" t="s">
        <v>17</v>
      </c>
      <c r="E5" s="28">
        <f t="shared" si="0"/>
        <v>3</v>
      </c>
      <c r="F5" s="37">
        <v>20</v>
      </c>
      <c r="G5" s="30"/>
      <c r="H5" s="38" t="s">
        <v>16</v>
      </c>
      <c r="I5" s="38" t="s">
        <v>18</v>
      </c>
    </row>
    <row r="6" ht="16.5" customHeight="1" spans="1:9">
      <c r="A6" s="31" t="s">
        <v>12</v>
      </c>
      <c r="B6" s="26" t="s">
        <v>13</v>
      </c>
      <c r="C6" s="27" t="s">
        <v>14</v>
      </c>
      <c r="D6" s="27" t="s">
        <v>19</v>
      </c>
      <c r="E6" s="28">
        <f t="shared" si="0"/>
        <v>3.45</v>
      </c>
      <c r="F6" s="37">
        <v>23</v>
      </c>
      <c r="G6" s="30"/>
      <c r="H6" s="38" t="s">
        <v>16</v>
      </c>
      <c r="I6" s="38" t="s">
        <v>18</v>
      </c>
    </row>
    <row r="7" ht="16.5" customHeight="1" spans="1:9">
      <c r="A7" s="31" t="s">
        <v>12</v>
      </c>
      <c r="B7" s="26" t="s">
        <v>13</v>
      </c>
      <c r="C7" s="27" t="s">
        <v>14</v>
      </c>
      <c r="D7" s="27" t="s">
        <v>20</v>
      </c>
      <c r="E7" s="28">
        <f t="shared" si="0"/>
        <v>3.9</v>
      </c>
      <c r="F7" s="37">
        <v>26</v>
      </c>
      <c r="G7" s="30"/>
      <c r="H7" s="38" t="s">
        <v>16</v>
      </c>
      <c r="I7" s="38" t="s">
        <v>18</v>
      </c>
    </row>
    <row r="8" ht="16.5" customHeight="1" spans="1:9">
      <c r="A8" s="31" t="s">
        <v>12</v>
      </c>
      <c r="B8" s="26" t="s">
        <v>13</v>
      </c>
      <c r="C8" s="27" t="s">
        <v>14</v>
      </c>
      <c r="D8" s="27" t="s">
        <v>21</v>
      </c>
      <c r="E8" s="28">
        <f t="shared" si="0"/>
        <v>6</v>
      </c>
      <c r="F8" s="37">
        <v>40</v>
      </c>
      <c r="G8" s="30"/>
      <c r="H8" s="38" t="s">
        <v>16</v>
      </c>
      <c r="I8" s="38" t="s">
        <v>18</v>
      </c>
    </row>
    <row r="9" ht="16.5" customHeight="1" spans="1:9">
      <c r="A9" s="31" t="s">
        <v>12</v>
      </c>
      <c r="B9" s="26" t="s">
        <v>13</v>
      </c>
      <c r="C9" s="27" t="s">
        <v>14</v>
      </c>
      <c r="D9" s="27" t="s">
        <v>22</v>
      </c>
      <c r="E9" s="28">
        <f t="shared" si="0"/>
        <v>7.5</v>
      </c>
      <c r="F9" s="37">
        <v>50</v>
      </c>
      <c r="G9" s="30"/>
      <c r="H9" s="38" t="s">
        <v>16</v>
      </c>
      <c r="I9" s="38" t="s">
        <v>18</v>
      </c>
    </row>
    <row r="10" ht="16.5" customHeight="1" spans="1:9">
      <c r="A10" s="31" t="s">
        <v>12</v>
      </c>
      <c r="B10" s="26" t="s">
        <v>13</v>
      </c>
      <c r="C10" s="27" t="s">
        <v>14</v>
      </c>
      <c r="D10" s="27" t="s">
        <v>23</v>
      </c>
      <c r="E10" s="28">
        <f t="shared" si="0"/>
        <v>9.75</v>
      </c>
      <c r="F10" s="37">
        <v>65</v>
      </c>
      <c r="G10" s="30"/>
      <c r="H10" s="38" t="s">
        <v>16</v>
      </c>
      <c r="I10" s="38" t="s">
        <v>18</v>
      </c>
    </row>
    <row r="11" ht="16.5" customHeight="1" spans="1:9">
      <c r="A11" s="35" t="s">
        <v>12</v>
      </c>
      <c r="B11" s="32" t="s">
        <v>24</v>
      </c>
      <c r="C11" s="33" t="s">
        <v>14</v>
      </c>
      <c r="D11" s="33" t="s">
        <v>20</v>
      </c>
      <c r="E11" s="34">
        <f t="shared" si="0"/>
        <v>3</v>
      </c>
      <c r="F11" s="37">
        <v>20</v>
      </c>
      <c r="G11" s="30"/>
      <c r="H11" s="38" t="s">
        <v>16</v>
      </c>
      <c r="I11" s="38" t="s">
        <v>18</v>
      </c>
    </row>
    <row r="12" ht="16.5" customHeight="1" spans="1:9">
      <c r="A12" s="35" t="s">
        <v>12</v>
      </c>
      <c r="B12" s="32" t="s">
        <v>24</v>
      </c>
      <c r="C12" s="33" t="s">
        <v>14</v>
      </c>
      <c r="D12" s="33" t="s">
        <v>21</v>
      </c>
      <c r="E12" s="34">
        <f t="shared" si="0"/>
        <v>4.5</v>
      </c>
      <c r="F12" s="37">
        <v>30</v>
      </c>
      <c r="G12" s="30"/>
      <c r="H12" s="38" t="s">
        <v>16</v>
      </c>
      <c r="I12" s="38" t="s">
        <v>18</v>
      </c>
    </row>
    <row r="13" ht="16.5" customHeight="1" spans="1:9">
      <c r="A13" s="35" t="s">
        <v>12</v>
      </c>
      <c r="B13" s="32" t="s">
        <v>24</v>
      </c>
      <c r="C13" s="33" t="s">
        <v>14</v>
      </c>
      <c r="D13" s="33" t="s">
        <v>22</v>
      </c>
      <c r="E13" s="34">
        <f t="shared" si="0"/>
        <v>5.55</v>
      </c>
      <c r="F13" s="37">
        <v>37</v>
      </c>
      <c r="G13" s="30"/>
      <c r="H13" s="38" t="s">
        <v>16</v>
      </c>
      <c r="I13" s="38" t="s">
        <v>18</v>
      </c>
    </row>
    <row r="14" ht="16.5" customHeight="1" spans="1:9">
      <c r="A14" s="35" t="s">
        <v>12</v>
      </c>
      <c r="B14" s="32" t="s">
        <v>24</v>
      </c>
      <c r="C14" s="33" t="s">
        <v>14</v>
      </c>
      <c r="D14" s="33" t="s">
        <v>23</v>
      </c>
      <c r="E14" s="34">
        <f t="shared" si="0"/>
        <v>7.5</v>
      </c>
      <c r="F14" s="37">
        <v>50</v>
      </c>
      <c r="G14" s="30"/>
      <c r="H14" s="38" t="s">
        <v>16</v>
      </c>
      <c r="I14" s="38" t="s">
        <v>18</v>
      </c>
    </row>
    <row r="15" ht="16.5" customHeight="1" spans="1:9">
      <c r="A15" s="35" t="s">
        <v>12</v>
      </c>
      <c r="B15" s="32" t="s">
        <v>24</v>
      </c>
      <c r="C15" s="33" t="s">
        <v>14</v>
      </c>
      <c r="D15" s="33" t="s">
        <v>25</v>
      </c>
      <c r="E15" s="34">
        <f t="shared" si="0"/>
        <v>10.5</v>
      </c>
      <c r="F15" s="37">
        <v>70</v>
      </c>
      <c r="G15" s="30"/>
      <c r="H15" s="38" t="s">
        <v>16</v>
      </c>
      <c r="I15" s="38" t="s">
        <v>18</v>
      </c>
    </row>
    <row r="16" ht="16.5" customHeight="1" spans="1:9">
      <c r="A16" s="35" t="s">
        <v>12</v>
      </c>
      <c r="B16" s="32" t="s">
        <v>24</v>
      </c>
      <c r="C16" s="33" t="s">
        <v>14</v>
      </c>
      <c r="D16" s="33" t="s">
        <v>26</v>
      </c>
      <c r="E16" s="34">
        <f t="shared" si="0"/>
        <v>15</v>
      </c>
      <c r="F16" s="37">
        <v>100</v>
      </c>
      <c r="G16" s="30"/>
      <c r="H16" s="38" t="s">
        <v>16</v>
      </c>
      <c r="I16" s="38" t="s">
        <v>18</v>
      </c>
    </row>
    <row r="17" ht="16.5" customHeight="1" spans="1:9">
      <c r="A17" s="31" t="s">
        <v>12</v>
      </c>
      <c r="B17" s="26" t="s">
        <v>27</v>
      </c>
      <c r="C17" s="27" t="s">
        <v>28</v>
      </c>
      <c r="D17" s="27" t="s">
        <v>29</v>
      </c>
      <c r="E17" s="28">
        <f t="shared" si="0"/>
        <v>1.8</v>
      </c>
      <c r="F17" s="37">
        <v>12</v>
      </c>
      <c r="G17" s="30"/>
      <c r="H17" s="38" t="s">
        <v>16</v>
      </c>
      <c r="I17" s="38" t="s">
        <v>18</v>
      </c>
    </row>
    <row r="18" ht="16.5" customHeight="1" spans="1:9">
      <c r="A18" s="31" t="s">
        <v>12</v>
      </c>
      <c r="B18" s="26" t="s">
        <v>27</v>
      </c>
      <c r="C18" s="27" t="s">
        <v>28</v>
      </c>
      <c r="D18" s="27" t="s">
        <v>30</v>
      </c>
      <c r="E18" s="28" t="s">
        <v>31</v>
      </c>
      <c r="F18" s="37" t="s">
        <v>32</v>
      </c>
      <c r="G18" s="30"/>
      <c r="H18" s="38" t="s">
        <v>16</v>
      </c>
      <c r="I18" s="38" t="s">
        <v>18</v>
      </c>
    </row>
    <row r="19" ht="16.5" customHeight="1" spans="1:9">
      <c r="A19" s="31" t="s">
        <v>12</v>
      </c>
      <c r="B19" s="26" t="s">
        <v>27</v>
      </c>
      <c r="C19" s="27" t="s">
        <v>28</v>
      </c>
      <c r="D19" s="27" t="s">
        <v>33</v>
      </c>
      <c r="E19" s="28" t="s">
        <v>31</v>
      </c>
      <c r="F19" s="37" t="s">
        <v>32</v>
      </c>
      <c r="G19" s="30"/>
      <c r="H19" s="38" t="s">
        <v>16</v>
      </c>
      <c r="I19" s="38" t="s">
        <v>18</v>
      </c>
    </row>
    <row r="20" ht="16.5" customHeight="1" spans="1:9">
      <c r="A20" s="31" t="s">
        <v>12</v>
      </c>
      <c r="B20" s="26" t="s">
        <v>27</v>
      </c>
      <c r="C20" s="27" t="s">
        <v>28</v>
      </c>
      <c r="D20" s="27" t="s">
        <v>34</v>
      </c>
      <c r="E20" s="28" t="s">
        <v>35</v>
      </c>
      <c r="F20" s="37" t="s">
        <v>36</v>
      </c>
      <c r="G20" s="30"/>
      <c r="H20" s="38" t="s">
        <v>16</v>
      </c>
      <c r="I20" s="38" t="s">
        <v>18</v>
      </c>
    </row>
    <row r="21" ht="16.5" customHeight="1" spans="1:9">
      <c r="A21" s="31" t="s">
        <v>12</v>
      </c>
      <c r="B21" s="26" t="s">
        <v>27</v>
      </c>
      <c r="C21" s="27" t="s">
        <v>28</v>
      </c>
      <c r="D21" s="27" t="s">
        <v>37</v>
      </c>
      <c r="E21" s="28" t="s">
        <v>35</v>
      </c>
      <c r="F21" s="37" t="s">
        <v>36</v>
      </c>
      <c r="G21" s="30"/>
      <c r="H21" s="38" t="s">
        <v>16</v>
      </c>
      <c r="I21" s="38" t="s">
        <v>18</v>
      </c>
    </row>
    <row r="22" ht="16.5" customHeight="1" spans="1:9">
      <c r="A22" s="31" t="s">
        <v>12</v>
      </c>
      <c r="B22" s="26" t="s">
        <v>27</v>
      </c>
      <c r="C22" s="27" t="s">
        <v>28</v>
      </c>
      <c r="D22" s="27" t="s">
        <v>38</v>
      </c>
      <c r="E22" s="28" t="s">
        <v>39</v>
      </c>
      <c r="F22" s="37" t="s">
        <v>40</v>
      </c>
      <c r="G22" s="30"/>
      <c r="H22" s="38" t="s">
        <v>16</v>
      </c>
      <c r="I22" s="38" t="s">
        <v>18</v>
      </c>
    </row>
    <row r="23" ht="16.5" customHeight="1" spans="1:9">
      <c r="A23" s="31" t="s">
        <v>12</v>
      </c>
      <c r="B23" s="26" t="s">
        <v>27</v>
      </c>
      <c r="C23" s="27" t="s">
        <v>28</v>
      </c>
      <c r="D23" s="27" t="s">
        <v>41</v>
      </c>
      <c r="E23" s="28" t="s">
        <v>39</v>
      </c>
      <c r="F23" s="37" t="s">
        <v>40</v>
      </c>
      <c r="G23" s="30"/>
      <c r="H23" s="38" t="s">
        <v>16</v>
      </c>
      <c r="I23" s="38" t="s">
        <v>18</v>
      </c>
    </row>
    <row r="24" ht="16.5" customHeight="1" spans="1:9">
      <c r="A24" s="35" t="s">
        <v>12</v>
      </c>
      <c r="B24" s="32" t="s">
        <v>27</v>
      </c>
      <c r="C24" s="33" t="s">
        <v>42</v>
      </c>
      <c r="D24" s="33" t="s">
        <v>33</v>
      </c>
      <c r="E24" s="34" t="s">
        <v>31</v>
      </c>
      <c r="F24" s="37" t="s">
        <v>32</v>
      </c>
      <c r="G24" s="30"/>
      <c r="H24" s="38" t="s">
        <v>16</v>
      </c>
      <c r="I24" s="38" t="s">
        <v>18</v>
      </c>
    </row>
    <row r="25" ht="16.5" customHeight="1" spans="1:9">
      <c r="A25" s="35" t="s">
        <v>12</v>
      </c>
      <c r="B25" s="32" t="s">
        <v>27</v>
      </c>
      <c r="C25" s="33" t="s">
        <v>42</v>
      </c>
      <c r="D25" s="33" t="s">
        <v>37</v>
      </c>
      <c r="E25" s="34" t="s">
        <v>35</v>
      </c>
      <c r="F25" s="37" t="s">
        <v>36</v>
      </c>
      <c r="G25" s="30"/>
      <c r="H25" s="38" t="s">
        <v>16</v>
      </c>
      <c r="I25" s="38" t="s">
        <v>18</v>
      </c>
    </row>
    <row r="26" ht="16.5" customHeight="1" spans="1:9">
      <c r="A26" s="35" t="s">
        <v>12</v>
      </c>
      <c r="B26" s="32" t="s">
        <v>27</v>
      </c>
      <c r="C26" s="33" t="s">
        <v>42</v>
      </c>
      <c r="D26" s="33" t="s">
        <v>43</v>
      </c>
      <c r="E26" s="34" t="s">
        <v>35</v>
      </c>
      <c r="F26" s="37" t="s">
        <v>36</v>
      </c>
      <c r="G26" s="30"/>
      <c r="H26" s="38" t="s">
        <v>16</v>
      </c>
      <c r="I26" s="38" t="s">
        <v>18</v>
      </c>
    </row>
    <row r="27" ht="16.5" customHeight="1" spans="1:9">
      <c r="A27" s="35" t="s">
        <v>12</v>
      </c>
      <c r="B27" s="32" t="s">
        <v>27</v>
      </c>
      <c r="C27" s="33" t="s">
        <v>42</v>
      </c>
      <c r="D27" s="33" t="s">
        <v>41</v>
      </c>
      <c r="E27" s="34" t="s">
        <v>39</v>
      </c>
      <c r="F27" s="37" t="s">
        <v>40</v>
      </c>
      <c r="G27" s="30"/>
      <c r="H27" s="38" t="s">
        <v>16</v>
      </c>
      <c r="I27" s="38" t="s">
        <v>18</v>
      </c>
    </row>
    <row r="28" ht="16.5" customHeight="1" spans="1:9">
      <c r="A28" s="31" t="s">
        <v>12</v>
      </c>
      <c r="B28" s="26" t="s">
        <v>27</v>
      </c>
      <c r="C28" s="27" t="s">
        <v>44</v>
      </c>
      <c r="D28" s="27" t="s">
        <v>37</v>
      </c>
      <c r="E28" s="28" t="s">
        <v>35</v>
      </c>
      <c r="F28" s="37" t="s">
        <v>36</v>
      </c>
      <c r="G28" s="30"/>
      <c r="H28" s="38" t="s">
        <v>16</v>
      </c>
      <c r="I28" s="38" t="s">
        <v>18</v>
      </c>
    </row>
    <row r="29" ht="16.5" customHeight="1" spans="1:9">
      <c r="A29" s="31" t="s">
        <v>12</v>
      </c>
      <c r="B29" s="26" t="s">
        <v>27</v>
      </c>
      <c r="C29" s="27" t="s">
        <v>44</v>
      </c>
      <c r="D29" s="27" t="s">
        <v>41</v>
      </c>
      <c r="E29" s="28" t="s">
        <v>39</v>
      </c>
      <c r="F29" s="37" t="s">
        <v>40</v>
      </c>
      <c r="G29" s="30"/>
      <c r="H29" s="38" t="s">
        <v>16</v>
      </c>
      <c r="I29" s="38" t="s">
        <v>18</v>
      </c>
    </row>
    <row r="30" ht="16.5" customHeight="1" spans="1:9">
      <c r="A30" s="31" t="s">
        <v>12</v>
      </c>
      <c r="B30" s="26" t="s">
        <v>27</v>
      </c>
      <c r="C30" s="27" t="s">
        <v>44</v>
      </c>
      <c r="D30" s="27" t="s">
        <v>45</v>
      </c>
      <c r="E30" s="28" t="s">
        <v>46</v>
      </c>
      <c r="F30" s="37" t="s">
        <v>47</v>
      </c>
      <c r="G30" s="30"/>
      <c r="H30" s="38" t="s">
        <v>16</v>
      </c>
      <c r="I30" s="38" t="s">
        <v>18</v>
      </c>
    </row>
    <row r="31" ht="16.5" customHeight="1" spans="1:9">
      <c r="A31" s="31" t="s">
        <v>12</v>
      </c>
      <c r="B31" s="26" t="s">
        <v>27</v>
      </c>
      <c r="C31" s="27" t="s">
        <v>44</v>
      </c>
      <c r="D31" s="27" t="s">
        <v>48</v>
      </c>
      <c r="E31" s="28" t="s">
        <v>46</v>
      </c>
      <c r="F31" s="37" t="s">
        <v>47</v>
      </c>
      <c r="G31" s="30"/>
      <c r="H31" s="38" t="s">
        <v>16</v>
      </c>
      <c r="I31" s="38" t="s">
        <v>18</v>
      </c>
    </row>
    <row r="32" ht="16.5" customHeight="1" spans="1:9">
      <c r="A32" s="31" t="s">
        <v>12</v>
      </c>
      <c r="B32" s="26" t="s">
        <v>27</v>
      </c>
      <c r="C32" s="27" t="s">
        <v>44</v>
      </c>
      <c r="D32" s="27" t="s">
        <v>49</v>
      </c>
      <c r="E32" s="28" t="s">
        <v>46</v>
      </c>
      <c r="F32" s="37" t="s">
        <v>47</v>
      </c>
      <c r="G32" s="30"/>
      <c r="H32" s="38" t="s">
        <v>16</v>
      </c>
      <c r="I32" s="38" t="s">
        <v>18</v>
      </c>
    </row>
    <row r="33" ht="16.5" customHeight="1" spans="1:9">
      <c r="A33" s="35" t="s">
        <v>12</v>
      </c>
      <c r="B33" s="32" t="s">
        <v>50</v>
      </c>
      <c r="C33" s="33" t="s">
        <v>44</v>
      </c>
      <c r="D33" s="33" t="s">
        <v>41</v>
      </c>
      <c r="E33" s="34" t="s">
        <v>39</v>
      </c>
      <c r="F33" s="37" t="s">
        <v>40</v>
      </c>
      <c r="G33" s="30"/>
      <c r="H33" s="38" t="s">
        <v>16</v>
      </c>
      <c r="I33" s="38" t="s">
        <v>18</v>
      </c>
    </row>
    <row r="34" ht="16.5" customHeight="1" spans="1:9">
      <c r="A34" s="35" t="s">
        <v>12</v>
      </c>
      <c r="B34" s="32" t="s">
        <v>50</v>
      </c>
      <c r="C34" s="33" t="s">
        <v>44</v>
      </c>
      <c r="D34" s="33" t="s">
        <v>45</v>
      </c>
      <c r="E34" s="34" t="s">
        <v>46</v>
      </c>
      <c r="F34" s="37" t="s">
        <v>47</v>
      </c>
      <c r="G34" s="30"/>
      <c r="H34" s="38" t="s">
        <v>16</v>
      </c>
      <c r="I34" s="38" t="s">
        <v>18</v>
      </c>
    </row>
    <row r="35" ht="16.5" customHeight="1" spans="1:9">
      <c r="A35" s="35" t="s">
        <v>12</v>
      </c>
      <c r="B35" s="32" t="s">
        <v>50</v>
      </c>
      <c r="C35" s="33" t="s">
        <v>44</v>
      </c>
      <c r="D35" s="33" t="s">
        <v>48</v>
      </c>
      <c r="E35" s="34" t="s">
        <v>46</v>
      </c>
      <c r="F35" s="37" t="s">
        <v>47</v>
      </c>
      <c r="G35" s="30"/>
      <c r="H35" s="38" t="s">
        <v>16</v>
      </c>
      <c r="I35" s="38" t="s">
        <v>18</v>
      </c>
    </row>
    <row r="36" ht="16.5" customHeight="1" spans="1:9">
      <c r="A36" s="35" t="s">
        <v>12</v>
      </c>
      <c r="B36" s="32" t="s">
        <v>50</v>
      </c>
      <c r="C36" s="33" t="s">
        <v>44</v>
      </c>
      <c r="D36" s="33" t="s">
        <v>49</v>
      </c>
      <c r="E36" s="34" t="s">
        <v>46</v>
      </c>
      <c r="F36" s="37" t="s">
        <v>47</v>
      </c>
      <c r="G36" s="30"/>
      <c r="H36" s="38" t="s">
        <v>16</v>
      </c>
      <c r="I36" s="38" t="s">
        <v>18</v>
      </c>
    </row>
    <row r="37" ht="16.5" customHeight="1" spans="1:9">
      <c r="A37" s="31" t="s">
        <v>12</v>
      </c>
      <c r="B37" s="26" t="s">
        <v>50</v>
      </c>
      <c r="C37" s="27" t="s">
        <v>51</v>
      </c>
      <c r="D37" s="27" t="s">
        <v>48</v>
      </c>
      <c r="E37" s="28" t="s">
        <v>46</v>
      </c>
      <c r="F37" s="37" t="s">
        <v>47</v>
      </c>
      <c r="G37" s="30"/>
      <c r="H37" s="38" t="s">
        <v>16</v>
      </c>
      <c r="I37" s="38" t="s">
        <v>18</v>
      </c>
    </row>
    <row r="38" ht="16.5" customHeight="1" spans="1:9">
      <c r="A38" s="31" t="s">
        <v>12</v>
      </c>
      <c r="B38" s="26" t="s">
        <v>50</v>
      </c>
      <c r="C38" s="27" t="s">
        <v>51</v>
      </c>
      <c r="D38" s="27" t="s">
        <v>49</v>
      </c>
      <c r="E38" s="28" t="s">
        <v>46</v>
      </c>
      <c r="F38" s="37" t="s">
        <v>47</v>
      </c>
      <c r="G38" s="30"/>
      <c r="H38" s="38" t="s">
        <v>16</v>
      </c>
      <c r="I38" s="38" t="s">
        <v>18</v>
      </c>
    </row>
    <row r="39" ht="16.5" customHeight="1" spans="1:9">
      <c r="A39" s="31" t="s">
        <v>12</v>
      </c>
      <c r="B39" s="26" t="s">
        <v>50</v>
      </c>
      <c r="C39" s="27" t="s">
        <v>51</v>
      </c>
      <c r="D39" s="27" t="s">
        <v>52</v>
      </c>
      <c r="E39" s="28" t="s">
        <v>53</v>
      </c>
      <c r="F39" s="37" t="s">
        <v>54</v>
      </c>
      <c r="G39" s="30"/>
      <c r="H39" s="38" t="s">
        <v>16</v>
      </c>
      <c r="I39" s="38" t="s">
        <v>18</v>
      </c>
    </row>
    <row r="40" ht="16.5" customHeight="1" spans="1:9">
      <c r="A40" s="35" t="s">
        <v>12</v>
      </c>
      <c r="B40" s="32" t="s">
        <v>50</v>
      </c>
      <c r="C40" s="33" t="s">
        <v>55</v>
      </c>
      <c r="D40" s="33" t="s">
        <v>49</v>
      </c>
      <c r="E40" s="34" t="s">
        <v>56</v>
      </c>
      <c r="F40" s="37" t="s">
        <v>57</v>
      </c>
      <c r="G40" s="30"/>
      <c r="H40" s="38" t="s">
        <v>16</v>
      </c>
      <c r="I40" s="38" t="s">
        <v>18</v>
      </c>
    </row>
    <row r="41" ht="16.5" customHeight="1" spans="1:9">
      <c r="A41" s="35" t="s">
        <v>12</v>
      </c>
      <c r="B41" s="32" t="s">
        <v>50</v>
      </c>
      <c r="C41" s="33" t="s">
        <v>55</v>
      </c>
      <c r="D41" s="33" t="s">
        <v>52</v>
      </c>
      <c r="E41" s="34" t="s">
        <v>53</v>
      </c>
      <c r="F41" s="37" t="s">
        <v>54</v>
      </c>
      <c r="G41" s="30"/>
      <c r="H41" s="38" t="s">
        <v>16</v>
      </c>
      <c r="I41" s="38" t="s">
        <v>18</v>
      </c>
    </row>
    <row r="42" ht="16.5" customHeight="1" spans="1:9">
      <c r="A42" s="35" t="s">
        <v>12</v>
      </c>
      <c r="B42" s="32" t="s">
        <v>50</v>
      </c>
      <c r="C42" s="33" t="s">
        <v>55</v>
      </c>
      <c r="D42" s="33" t="s">
        <v>58</v>
      </c>
      <c r="E42" s="34" t="s">
        <v>53</v>
      </c>
      <c r="F42" s="37" t="s">
        <v>54</v>
      </c>
      <c r="G42" s="30"/>
      <c r="H42" s="38" t="s">
        <v>16</v>
      </c>
      <c r="I42" s="38" t="s">
        <v>18</v>
      </c>
    </row>
    <row r="43" ht="16.5" customHeight="1" spans="1:9">
      <c r="A43" s="35" t="s">
        <v>12</v>
      </c>
      <c r="B43" s="32" t="s">
        <v>50</v>
      </c>
      <c r="C43" s="33" t="s">
        <v>55</v>
      </c>
      <c r="D43" s="33" t="s">
        <v>59</v>
      </c>
      <c r="E43" s="34" t="s">
        <v>60</v>
      </c>
      <c r="F43" s="37" t="s">
        <v>61</v>
      </c>
      <c r="G43" s="30"/>
      <c r="H43" s="38" t="s">
        <v>16</v>
      </c>
      <c r="I43" s="38" t="s">
        <v>18</v>
      </c>
    </row>
    <row r="44" ht="16.5" customHeight="1" spans="1:9">
      <c r="A44" s="31" t="s">
        <v>12</v>
      </c>
      <c r="B44" s="26" t="s">
        <v>62</v>
      </c>
      <c r="C44" s="27" t="s">
        <v>28</v>
      </c>
      <c r="D44" s="27" t="s">
        <v>63</v>
      </c>
      <c r="E44" s="28">
        <f t="shared" ref="E44:E79" si="1">IF($F44="","",$F44*$B$2)</f>
        <v>0.75</v>
      </c>
      <c r="F44" s="37">
        <v>5</v>
      </c>
      <c r="G44" s="30"/>
      <c r="H44" s="38" t="s">
        <v>16</v>
      </c>
      <c r="I44" s="38" t="s">
        <v>18</v>
      </c>
    </row>
    <row r="45" ht="16.5" customHeight="1" spans="1:9">
      <c r="A45" s="31" t="s">
        <v>12</v>
      </c>
      <c r="B45" s="26" t="s">
        <v>62</v>
      </c>
      <c r="C45" s="27" t="s">
        <v>28</v>
      </c>
      <c r="D45" s="27" t="s">
        <v>64</v>
      </c>
      <c r="E45" s="28">
        <f t="shared" si="1"/>
        <v>1.5</v>
      </c>
      <c r="F45" s="37">
        <v>10</v>
      </c>
      <c r="G45" s="30"/>
      <c r="H45" s="38" t="s">
        <v>16</v>
      </c>
      <c r="I45" s="38" t="s">
        <v>18</v>
      </c>
    </row>
    <row r="46" ht="16.5" customHeight="1" spans="1:9">
      <c r="A46" s="31" t="s">
        <v>12</v>
      </c>
      <c r="B46" s="26" t="s">
        <v>62</v>
      </c>
      <c r="C46" s="27" t="s">
        <v>28</v>
      </c>
      <c r="D46" s="27" t="s">
        <v>65</v>
      </c>
      <c r="E46" s="28">
        <f t="shared" si="1"/>
        <v>2.25</v>
      </c>
      <c r="F46" s="37">
        <v>15</v>
      </c>
      <c r="G46" s="30"/>
      <c r="H46" s="38" t="s">
        <v>16</v>
      </c>
      <c r="I46" s="38" t="s">
        <v>18</v>
      </c>
    </row>
    <row r="47" ht="16.5" customHeight="1" spans="1:9">
      <c r="A47" s="31" t="s">
        <v>12</v>
      </c>
      <c r="B47" s="26" t="s">
        <v>62</v>
      </c>
      <c r="C47" s="27" t="s">
        <v>28</v>
      </c>
      <c r="D47" s="27" t="s">
        <v>15</v>
      </c>
      <c r="E47" s="28">
        <f t="shared" si="1"/>
        <v>2.55</v>
      </c>
      <c r="F47" s="37">
        <v>17</v>
      </c>
      <c r="G47" s="30"/>
      <c r="H47" s="38" t="s">
        <v>16</v>
      </c>
      <c r="I47" s="38" t="s">
        <v>18</v>
      </c>
    </row>
    <row r="48" ht="16.5" customHeight="1" spans="1:9">
      <c r="A48" s="35" t="s">
        <v>12</v>
      </c>
      <c r="B48" s="32" t="s">
        <v>62</v>
      </c>
      <c r="C48" s="33" t="s">
        <v>42</v>
      </c>
      <c r="D48" s="33" t="s">
        <v>64</v>
      </c>
      <c r="E48" s="34">
        <f t="shared" si="1"/>
        <v>2.25</v>
      </c>
      <c r="F48" s="37">
        <v>15</v>
      </c>
      <c r="G48" s="30"/>
      <c r="H48" s="38" t="s">
        <v>16</v>
      </c>
      <c r="I48" s="38" t="s">
        <v>18</v>
      </c>
    </row>
    <row r="49" ht="16.5" customHeight="1" spans="1:9">
      <c r="A49" s="35" t="s">
        <v>12</v>
      </c>
      <c r="B49" s="32" t="s">
        <v>62</v>
      </c>
      <c r="C49" s="33" t="s">
        <v>42</v>
      </c>
      <c r="D49" s="33" t="s">
        <v>65</v>
      </c>
      <c r="E49" s="34">
        <f t="shared" si="1"/>
        <v>3</v>
      </c>
      <c r="F49" s="37">
        <v>20</v>
      </c>
      <c r="G49" s="30"/>
      <c r="H49" s="38" t="s">
        <v>16</v>
      </c>
      <c r="I49" s="38" t="s">
        <v>18</v>
      </c>
    </row>
    <row r="50" ht="16.5" customHeight="1" spans="1:9">
      <c r="A50" s="35" t="s">
        <v>12</v>
      </c>
      <c r="B50" s="32" t="s">
        <v>62</v>
      </c>
      <c r="C50" s="33" t="s">
        <v>42</v>
      </c>
      <c r="D50" s="33" t="s">
        <v>15</v>
      </c>
      <c r="E50" s="34">
        <f t="shared" si="1"/>
        <v>3.75</v>
      </c>
      <c r="F50" s="37">
        <v>25</v>
      </c>
      <c r="G50" s="30"/>
      <c r="H50" s="38" t="s">
        <v>16</v>
      </c>
      <c r="I50" s="38" t="s">
        <v>18</v>
      </c>
    </row>
    <row r="51" ht="16.5" customHeight="1" spans="1:9">
      <c r="A51" s="35" t="s">
        <v>12</v>
      </c>
      <c r="B51" s="32" t="s">
        <v>62</v>
      </c>
      <c r="C51" s="33" t="s">
        <v>42</v>
      </c>
      <c r="D51" s="33" t="s">
        <v>66</v>
      </c>
      <c r="E51" s="34">
        <f t="shared" si="1"/>
        <v>4.5</v>
      </c>
      <c r="F51" s="37">
        <v>30</v>
      </c>
      <c r="G51" s="30"/>
      <c r="H51" s="38" t="s">
        <v>16</v>
      </c>
      <c r="I51" s="38" t="s">
        <v>18</v>
      </c>
    </row>
    <row r="52" ht="16.5" customHeight="1" spans="1:9">
      <c r="A52" s="35" t="s">
        <v>12</v>
      </c>
      <c r="B52" s="32" t="s">
        <v>62</v>
      </c>
      <c r="C52" s="33" t="s">
        <v>42</v>
      </c>
      <c r="D52" s="33" t="s">
        <v>17</v>
      </c>
      <c r="E52" s="34">
        <f t="shared" si="1"/>
        <v>6</v>
      </c>
      <c r="F52" s="37">
        <v>40</v>
      </c>
      <c r="G52" s="30"/>
      <c r="H52" s="38" t="s">
        <v>16</v>
      </c>
      <c r="I52" s="38" t="s">
        <v>18</v>
      </c>
    </row>
    <row r="53" ht="16.5" customHeight="1" spans="1:9">
      <c r="A53" s="31" t="s">
        <v>12</v>
      </c>
      <c r="B53" s="26" t="s">
        <v>62</v>
      </c>
      <c r="C53" s="27" t="s">
        <v>44</v>
      </c>
      <c r="D53" s="27" t="s">
        <v>64</v>
      </c>
      <c r="E53" s="28">
        <f t="shared" si="1"/>
        <v>1.5</v>
      </c>
      <c r="F53" s="37">
        <v>10</v>
      </c>
      <c r="G53" s="30"/>
      <c r="H53" s="38" t="s">
        <v>16</v>
      </c>
      <c r="I53" s="38" t="s">
        <v>18</v>
      </c>
    </row>
    <row r="54" ht="16.5" customHeight="1" spans="1:9">
      <c r="A54" s="31" t="s">
        <v>12</v>
      </c>
      <c r="B54" s="26" t="s">
        <v>62</v>
      </c>
      <c r="C54" s="27" t="s">
        <v>44</v>
      </c>
      <c r="D54" s="27" t="s">
        <v>65</v>
      </c>
      <c r="E54" s="28">
        <f t="shared" si="1"/>
        <v>2.25</v>
      </c>
      <c r="F54" s="37">
        <v>15</v>
      </c>
      <c r="G54" s="30"/>
      <c r="H54" s="38" t="s">
        <v>16</v>
      </c>
      <c r="I54" s="38" t="s">
        <v>18</v>
      </c>
    </row>
    <row r="55" ht="16.5" customHeight="1" spans="1:9">
      <c r="A55" s="31" t="s">
        <v>12</v>
      </c>
      <c r="B55" s="26" t="s">
        <v>62</v>
      </c>
      <c r="C55" s="27" t="s">
        <v>44</v>
      </c>
      <c r="D55" s="27" t="s">
        <v>15</v>
      </c>
      <c r="E55" s="28">
        <f t="shared" si="1"/>
        <v>2.55</v>
      </c>
      <c r="F55" s="37">
        <v>17</v>
      </c>
      <c r="G55" s="30"/>
      <c r="H55" s="38" t="s">
        <v>16</v>
      </c>
      <c r="I55" s="38" t="s">
        <v>18</v>
      </c>
    </row>
    <row r="56" ht="16.5" customHeight="1" spans="1:9">
      <c r="A56" s="31" t="s">
        <v>12</v>
      </c>
      <c r="B56" s="26" t="s">
        <v>62</v>
      </c>
      <c r="C56" s="27" t="s">
        <v>44</v>
      </c>
      <c r="D56" s="27" t="s">
        <v>66</v>
      </c>
      <c r="E56" s="28">
        <f t="shared" si="1"/>
        <v>4.5</v>
      </c>
      <c r="F56" s="37">
        <v>30</v>
      </c>
      <c r="G56" s="30"/>
      <c r="H56" s="38" t="s">
        <v>16</v>
      </c>
      <c r="I56" s="38" t="s">
        <v>18</v>
      </c>
    </row>
    <row r="57" ht="16.5" customHeight="1" spans="1:9">
      <c r="A57" s="31" t="s">
        <v>12</v>
      </c>
      <c r="B57" s="26" t="s">
        <v>62</v>
      </c>
      <c r="C57" s="27" t="s">
        <v>44</v>
      </c>
      <c r="D57" s="27" t="s">
        <v>17</v>
      </c>
      <c r="E57" s="28">
        <f t="shared" si="1"/>
        <v>6</v>
      </c>
      <c r="F57" s="37">
        <v>40</v>
      </c>
      <c r="G57" s="30"/>
      <c r="H57" s="38" t="s">
        <v>16</v>
      </c>
      <c r="I57" s="38" t="s">
        <v>18</v>
      </c>
    </row>
    <row r="58" ht="16.5" customHeight="1" spans="1:9">
      <c r="A58" s="31" t="s">
        <v>12</v>
      </c>
      <c r="B58" s="26" t="s">
        <v>62</v>
      </c>
      <c r="C58" s="27" t="s">
        <v>44</v>
      </c>
      <c r="D58" s="27" t="s">
        <v>67</v>
      </c>
      <c r="E58" s="28">
        <f t="shared" si="1"/>
        <v>7.5</v>
      </c>
      <c r="F58" s="37">
        <v>50</v>
      </c>
      <c r="G58" s="30"/>
      <c r="H58" s="38" t="s">
        <v>16</v>
      </c>
      <c r="I58" s="38" t="s">
        <v>18</v>
      </c>
    </row>
    <row r="59" ht="16.5" customHeight="1" spans="1:9">
      <c r="A59" s="31" t="s">
        <v>12</v>
      </c>
      <c r="B59" s="26" t="s">
        <v>62</v>
      </c>
      <c r="C59" s="27" t="s">
        <v>44</v>
      </c>
      <c r="D59" s="27" t="s">
        <v>19</v>
      </c>
      <c r="E59" s="28">
        <f t="shared" si="1"/>
        <v>10.5</v>
      </c>
      <c r="F59" s="37">
        <v>70</v>
      </c>
      <c r="G59" s="30"/>
      <c r="H59" s="38" t="s">
        <v>16</v>
      </c>
      <c r="I59" s="38" t="s">
        <v>18</v>
      </c>
    </row>
    <row r="60" ht="16.5" customHeight="1" spans="1:9">
      <c r="A60" s="35" t="s">
        <v>12</v>
      </c>
      <c r="B60" s="32" t="s">
        <v>62</v>
      </c>
      <c r="C60" s="33" t="s">
        <v>51</v>
      </c>
      <c r="D60" s="33" t="s">
        <v>15</v>
      </c>
      <c r="E60" s="34">
        <f t="shared" si="1"/>
        <v>12</v>
      </c>
      <c r="F60" s="37">
        <v>80</v>
      </c>
      <c r="G60" s="30"/>
      <c r="H60" s="38" t="s">
        <v>16</v>
      </c>
      <c r="I60" s="38" t="s">
        <v>18</v>
      </c>
    </row>
    <row r="61" ht="16.5" customHeight="1" spans="1:9">
      <c r="A61" s="35" t="s">
        <v>12</v>
      </c>
      <c r="B61" s="32" t="s">
        <v>62</v>
      </c>
      <c r="C61" s="33" t="s">
        <v>51</v>
      </c>
      <c r="D61" s="33" t="s">
        <v>66</v>
      </c>
      <c r="E61" s="34">
        <f t="shared" si="1"/>
        <v>15</v>
      </c>
      <c r="F61" s="37">
        <v>100</v>
      </c>
      <c r="G61" s="30"/>
      <c r="H61" s="38" t="s">
        <v>16</v>
      </c>
      <c r="I61" s="38" t="s">
        <v>18</v>
      </c>
    </row>
    <row r="62" ht="16.5" customHeight="1" spans="1:9">
      <c r="A62" s="35" t="s">
        <v>12</v>
      </c>
      <c r="B62" s="32" t="s">
        <v>62</v>
      </c>
      <c r="C62" s="33" t="s">
        <v>51</v>
      </c>
      <c r="D62" s="33" t="s">
        <v>17</v>
      </c>
      <c r="E62" s="34">
        <f t="shared" si="1"/>
        <v>18</v>
      </c>
      <c r="F62" s="37">
        <v>120</v>
      </c>
      <c r="G62" s="30"/>
      <c r="H62" s="38" t="s">
        <v>16</v>
      </c>
      <c r="I62" s="38" t="s">
        <v>18</v>
      </c>
    </row>
    <row r="63" ht="16.5" customHeight="1" spans="1:9">
      <c r="A63" s="35" t="s">
        <v>12</v>
      </c>
      <c r="B63" s="32" t="s">
        <v>62</v>
      </c>
      <c r="C63" s="33" t="s">
        <v>51</v>
      </c>
      <c r="D63" s="33" t="s">
        <v>67</v>
      </c>
      <c r="E63" s="34">
        <f t="shared" si="1"/>
        <v>22.5</v>
      </c>
      <c r="F63" s="37">
        <v>150</v>
      </c>
      <c r="G63" s="30"/>
      <c r="H63" s="38" t="s">
        <v>16</v>
      </c>
      <c r="I63" s="38" t="s">
        <v>18</v>
      </c>
    </row>
    <row r="64" ht="16.5" customHeight="1" spans="1:9">
      <c r="A64" s="35" t="s">
        <v>12</v>
      </c>
      <c r="B64" s="32" t="s">
        <v>62</v>
      </c>
      <c r="C64" s="33" t="s">
        <v>51</v>
      </c>
      <c r="D64" s="33" t="s">
        <v>19</v>
      </c>
      <c r="E64" s="34">
        <f t="shared" si="1"/>
        <v>27</v>
      </c>
      <c r="F64" s="37">
        <v>180</v>
      </c>
      <c r="G64" s="30"/>
      <c r="H64" s="38" t="s">
        <v>16</v>
      </c>
      <c r="I64" s="38" t="s">
        <v>18</v>
      </c>
    </row>
    <row r="65" ht="16.5" customHeight="1" spans="1:9">
      <c r="A65" s="31" t="s">
        <v>12</v>
      </c>
      <c r="B65" s="26" t="s">
        <v>62</v>
      </c>
      <c r="C65" s="27" t="s">
        <v>55</v>
      </c>
      <c r="D65" s="27" t="s">
        <v>66</v>
      </c>
      <c r="E65" s="28">
        <f t="shared" si="1"/>
        <v>15</v>
      </c>
      <c r="F65" s="37">
        <v>100</v>
      </c>
      <c r="G65" s="30"/>
      <c r="H65" s="38" t="s">
        <v>16</v>
      </c>
      <c r="I65" s="38" t="s">
        <v>18</v>
      </c>
    </row>
    <row r="66" ht="16.5" customHeight="1" spans="1:9">
      <c r="A66" s="31" t="s">
        <v>12</v>
      </c>
      <c r="B66" s="26" t="s">
        <v>62</v>
      </c>
      <c r="C66" s="27" t="s">
        <v>55</v>
      </c>
      <c r="D66" s="27" t="s">
        <v>17</v>
      </c>
      <c r="E66" s="28">
        <f t="shared" si="1"/>
        <v>18</v>
      </c>
      <c r="F66" s="37">
        <v>120</v>
      </c>
      <c r="G66" s="30"/>
      <c r="H66" s="38" t="s">
        <v>16</v>
      </c>
      <c r="I66" s="38" t="s">
        <v>18</v>
      </c>
    </row>
    <row r="67" ht="16.5" customHeight="1" spans="1:9">
      <c r="A67" s="31" t="s">
        <v>12</v>
      </c>
      <c r="B67" s="26" t="s">
        <v>62</v>
      </c>
      <c r="C67" s="27" t="s">
        <v>55</v>
      </c>
      <c r="D67" s="27" t="s">
        <v>67</v>
      </c>
      <c r="E67" s="28">
        <f t="shared" si="1"/>
        <v>22.5</v>
      </c>
      <c r="F67" s="37">
        <v>150</v>
      </c>
      <c r="G67" s="30"/>
      <c r="H67" s="38" t="s">
        <v>16</v>
      </c>
      <c r="I67" s="38" t="s">
        <v>18</v>
      </c>
    </row>
    <row r="68" ht="16.5" customHeight="1" spans="1:9">
      <c r="A68" s="31" t="s">
        <v>12</v>
      </c>
      <c r="B68" s="26" t="s">
        <v>62</v>
      </c>
      <c r="C68" s="27" t="s">
        <v>55</v>
      </c>
      <c r="D68" s="27" t="s">
        <v>19</v>
      </c>
      <c r="E68" s="28">
        <f t="shared" si="1"/>
        <v>27</v>
      </c>
      <c r="F68" s="37">
        <v>180</v>
      </c>
      <c r="G68" s="30"/>
      <c r="H68" s="38" t="s">
        <v>16</v>
      </c>
      <c r="I68" s="38" t="s">
        <v>18</v>
      </c>
    </row>
    <row r="69" ht="16.5" customHeight="1" spans="1:9">
      <c r="A69" s="35" t="s">
        <v>12</v>
      </c>
      <c r="B69" s="32" t="s">
        <v>68</v>
      </c>
      <c r="C69" s="33" t="s">
        <v>69</v>
      </c>
      <c r="D69" s="33" t="s">
        <v>70</v>
      </c>
      <c r="E69" s="34">
        <f t="shared" si="1"/>
        <v>0.45</v>
      </c>
      <c r="F69" s="37">
        <v>3</v>
      </c>
      <c r="G69" s="30"/>
      <c r="H69" s="38" t="s">
        <v>16</v>
      </c>
      <c r="I69" s="38" t="s">
        <v>18</v>
      </c>
    </row>
    <row r="70" ht="16.5" customHeight="1" spans="1:9">
      <c r="A70" s="35" t="s">
        <v>12</v>
      </c>
      <c r="B70" s="32" t="s">
        <v>68</v>
      </c>
      <c r="C70" s="33" t="s">
        <v>69</v>
      </c>
      <c r="D70" s="33" t="s">
        <v>71</v>
      </c>
      <c r="E70" s="34">
        <f t="shared" si="1"/>
        <v>0.6</v>
      </c>
      <c r="F70" s="37">
        <v>4</v>
      </c>
      <c r="G70" s="30"/>
      <c r="H70" s="38" t="s">
        <v>16</v>
      </c>
      <c r="I70" s="38" t="s">
        <v>18</v>
      </c>
    </row>
    <row r="71" ht="16.5" customHeight="1" spans="1:9">
      <c r="A71" s="35" t="s">
        <v>12</v>
      </c>
      <c r="B71" s="32" t="s">
        <v>68</v>
      </c>
      <c r="C71" s="33" t="s">
        <v>69</v>
      </c>
      <c r="D71" s="33" t="s">
        <v>72</v>
      </c>
      <c r="E71" s="34">
        <f t="shared" si="1"/>
        <v>0.6</v>
      </c>
      <c r="F71" s="37">
        <v>4</v>
      </c>
      <c r="G71" s="30"/>
      <c r="H71" s="38" t="s">
        <v>16</v>
      </c>
      <c r="I71" s="38" t="s">
        <v>18</v>
      </c>
    </row>
    <row r="72" ht="16.5" customHeight="1" spans="1:9">
      <c r="A72" s="31" t="s">
        <v>12</v>
      </c>
      <c r="B72" s="26" t="s">
        <v>68</v>
      </c>
      <c r="C72" s="27" t="s">
        <v>73</v>
      </c>
      <c r="D72" s="27" t="s">
        <v>70</v>
      </c>
      <c r="E72" s="28">
        <f t="shared" si="1"/>
        <v>0.45</v>
      </c>
      <c r="F72" s="37">
        <v>3</v>
      </c>
      <c r="G72" s="30"/>
      <c r="H72" s="38" t="s">
        <v>16</v>
      </c>
      <c r="I72" s="38" t="s">
        <v>18</v>
      </c>
    </row>
    <row r="73" ht="16.5" customHeight="1" spans="1:9">
      <c r="A73" s="31" t="s">
        <v>12</v>
      </c>
      <c r="B73" s="26" t="s">
        <v>68</v>
      </c>
      <c r="C73" s="27" t="s">
        <v>73</v>
      </c>
      <c r="D73" s="27" t="s">
        <v>71</v>
      </c>
      <c r="E73" s="28">
        <f t="shared" si="1"/>
        <v>0.6</v>
      </c>
      <c r="F73" s="37">
        <v>4</v>
      </c>
      <c r="G73" s="30"/>
      <c r="H73" s="38" t="s">
        <v>16</v>
      </c>
      <c r="I73" s="38" t="s">
        <v>18</v>
      </c>
    </row>
    <row r="74" ht="16.5" customHeight="1" spans="1:9">
      <c r="A74" s="31" t="s">
        <v>12</v>
      </c>
      <c r="B74" s="26" t="s">
        <v>68</v>
      </c>
      <c r="C74" s="27" t="s">
        <v>73</v>
      </c>
      <c r="D74" s="27" t="s">
        <v>72</v>
      </c>
      <c r="E74" s="28">
        <f t="shared" si="1"/>
        <v>0.6</v>
      </c>
      <c r="F74" s="37">
        <v>4</v>
      </c>
      <c r="G74" s="30"/>
      <c r="H74" s="38" t="s">
        <v>16</v>
      </c>
      <c r="I74" s="38" t="s">
        <v>18</v>
      </c>
    </row>
    <row r="75" ht="16.5" customHeight="1" spans="1:9">
      <c r="A75" s="35" t="s">
        <v>12</v>
      </c>
      <c r="B75" s="32" t="s">
        <v>68</v>
      </c>
      <c r="C75" s="33" t="s">
        <v>74</v>
      </c>
      <c r="D75" s="33" t="s">
        <v>71</v>
      </c>
      <c r="E75" s="34">
        <f t="shared" si="1"/>
        <v>0.9</v>
      </c>
      <c r="F75" s="37">
        <v>6</v>
      </c>
      <c r="G75" s="30"/>
      <c r="H75" s="38" t="s">
        <v>16</v>
      </c>
      <c r="I75" s="38" t="s">
        <v>18</v>
      </c>
    </row>
    <row r="76" ht="16.5" customHeight="1" spans="1:9">
      <c r="A76" s="35" t="s">
        <v>12</v>
      </c>
      <c r="B76" s="32" t="s">
        <v>68</v>
      </c>
      <c r="C76" s="33" t="s">
        <v>74</v>
      </c>
      <c r="D76" s="33" t="s">
        <v>72</v>
      </c>
      <c r="E76" s="34">
        <f t="shared" si="1"/>
        <v>1.95</v>
      </c>
      <c r="F76" s="37">
        <v>13</v>
      </c>
      <c r="G76" s="30"/>
      <c r="H76" s="38" t="s">
        <v>16</v>
      </c>
      <c r="I76" s="38" t="s">
        <v>18</v>
      </c>
    </row>
    <row r="77" ht="16.5" customHeight="1" spans="1:9">
      <c r="A77" s="35" t="s">
        <v>12</v>
      </c>
      <c r="B77" s="32" t="s">
        <v>68</v>
      </c>
      <c r="C77" s="33" t="s">
        <v>74</v>
      </c>
      <c r="D77" s="33" t="s">
        <v>75</v>
      </c>
      <c r="E77" s="34">
        <f t="shared" si="1"/>
        <v>2.1</v>
      </c>
      <c r="F77" s="37">
        <v>14</v>
      </c>
      <c r="G77" s="30"/>
      <c r="H77" s="38" t="s">
        <v>16</v>
      </c>
      <c r="I77" s="38" t="s">
        <v>18</v>
      </c>
    </row>
    <row r="78" ht="16.5" customHeight="1" spans="1:9">
      <c r="A78" s="31" t="s">
        <v>12</v>
      </c>
      <c r="B78" s="26" t="s">
        <v>68</v>
      </c>
      <c r="C78" s="27" t="s">
        <v>76</v>
      </c>
      <c r="D78" s="27" t="s">
        <v>75</v>
      </c>
      <c r="E78" s="28">
        <f t="shared" si="1"/>
        <v>2.55</v>
      </c>
      <c r="F78" s="37">
        <v>17</v>
      </c>
      <c r="G78" s="30"/>
      <c r="H78" s="38" t="s">
        <v>16</v>
      </c>
      <c r="I78" s="38" t="s">
        <v>18</v>
      </c>
    </row>
    <row r="79" ht="16.5" customHeight="1" spans="1:9">
      <c r="A79" s="31" t="s">
        <v>12</v>
      </c>
      <c r="B79" s="26" t="s">
        <v>68</v>
      </c>
      <c r="C79" s="27" t="s">
        <v>76</v>
      </c>
      <c r="D79" s="27" t="s">
        <v>77</v>
      </c>
      <c r="E79" s="28">
        <f t="shared" si="1"/>
        <v>3</v>
      </c>
      <c r="F79" s="37">
        <v>20</v>
      </c>
      <c r="G79" s="30"/>
      <c r="H79" s="38" t="s">
        <v>16</v>
      </c>
      <c r="I79" s="38" t="s">
        <v>18</v>
      </c>
    </row>
    <row r="80" ht="16.5" customHeight="1" spans="1:9">
      <c r="A80" s="35" t="s">
        <v>12</v>
      </c>
      <c r="B80" s="32" t="s">
        <v>78</v>
      </c>
      <c r="C80" s="33" t="s">
        <v>79</v>
      </c>
      <c r="D80" s="33" t="s">
        <v>80</v>
      </c>
      <c r="E80" s="34" t="s">
        <v>14</v>
      </c>
      <c r="F80" s="37" t="s">
        <v>81</v>
      </c>
      <c r="G80" s="30"/>
      <c r="H80" s="38" t="s">
        <v>16</v>
      </c>
      <c r="I80" s="38" t="s">
        <v>18</v>
      </c>
    </row>
    <row r="81" ht="16.5" customHeight="1" spans="1:9">
      <c r="A81" s="35" t="s">
        <v>12</v>
      </c>
      <c r="B81" s="32" t="s">
        <v>78</v>
      </c>
      <c r="C81" s="33" t="s">
        <v>79</v>
      </c>
      <c r="D81" s="33" t="s">
        <v>70</v>
      </c>
      <c r="E81" s="34" t="s">
        <v>14</v>
      </c>
      <c r="F81" s="37" t="s">
        <v>81</v>
      </c>
      <c r="G81" s="30"/>
      <c r="H81" s="38" t="s">
        <v>16</v>
      </c>
      <c r="I81" s="38" t="s">
        <v>18</v>
      </c>
    </row>
    <row r="82" ht="16.5" customHeight="1" spans="1:9">
      <c r="A82" s="31" t="s">
        <v>12</v>
      </c>
      <c r="B82" s="26" t="s">
        <v>78</v>
      </c>
      <c r="C82" s="27" t="s">
        <v>82</v>
      </c>
      <c r="D82" s="27" t="s">
        <v>71</v>
      </c>
      <c r="E82" s="28" t="s">
        <v>14</v>
      </c>
      <c r="F82" s="37" t="s">
        <v>81</v>
      </c>
      <c r="G82" s="30"/>
      <c r="H82" s="38" t="s">
        <v>16</v>
      </c>
      <c r="I82" s="38" t="s">
        <v>18</v>
      </c>
    </row>
    <row r="83" ht="16.5" customHeight="1" spans="1:9">
      <c r="A83" s="31" t="s">
        <v>12</v>
      </c>
      <c r="B83" s="26" t="s">
        <v>78</v>
      </c>
      <c r="C83" s="27" t="s">
        <v>82</v>
      </c>
      <c r="D83" s="27" t="s">
        <v>72</v>
      </c>
      <c r="E83" s="28" t="s">
        <v>14</v>
      </c>
      <c r="F83" s="37" t="s">
        <v>81</v>
      </c>
      <c r="G83" s="30"/>
      <c r="H83" s="38" t="s">
        <v>16</v>
      </c>
      <c r="I83" s="38" t="s">
        <v>18</v>
      </c>
    </row>
    <row r="84" ht="16.5" customHeight="1" spans="1:9">
      <c r="A84" s="35" t="s">
        <v>12</v>
      </c>
      <c r="B84" s="32" t="s">
        <v>78</v>
      </c>
      <c r="C84" s="33" t="s">
        <v>83</v>
      </c>
      <c r="D84" s="33" t="s">
        <v>72</v>
      </c>
      <c r="E84" s="34" t="s">
        <v>14</v>
      </c>
      <c r="F84" s="37" t="s">
        <v>81</v>
      </c>
      <c r="G84" s="30"/>
      <c r="H84" s="38" t="s">
        <v>16</v>
      </c>
      <c r="I84" s="38" t="s">
        <v>18</v>
      </c>
    </row>
    <row r="85" ht="16.5" customHeight="1" spans="1:9">
      <c r="A85" s="35" t="s">
        <v>12</v>
      </c>
      <c r="B85" s="32" t="s">
        <v>78</v>
      </c>
      <c r="C85" s="33" t="s">
        <v>83</v>
      </c>
      <c r="D85" s="33" t="s">
        <v>75</v>
      </c>
      <c r="E85" s="34" t="s">
        <v>14</v>
      </c>
      <c r="F85" s="37" t="s">
        <v>81</v>
      </c>
      <c r="G85" s="30"/>
      <c r="H85" s="38" t="s">
        <v>16</v>
      </c>
      <c r="I85" s="38" t="s">
        <v>18</v>
      </c>
    </row>
    <row r="86" ht="16.5" customHeight="1" spans="1:9">
      <c r="A86" s="31"/>
      <c r="B86" s="26" t="s">
        <v>62</v>
      </c>
      <c r="C86" s="27" t="s">
        <v>42</v>
      </c>
      <c r="D86" s="27" t="s">
        <v>63</v>
      </c>
      <c r="E86" s="28">
        <f>IF($F86="","",$F86*$B$2)</f>
        <v>1.05</v>
      </c>
      <c r="F86" s="37">
        <v>7</v>
      </c>
      <c r="G86" s="30"/>
      <c r="H86" s="38"/>
      <c r="I86" s="31" t="s">
        <v>84</v>
      </c>
    </row>
  </sheetData>
  <autoFilter xmlns:etc="http://www.wps.cn/officeDocument/2017/etCustomData" ref="A3:I86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7"/>
  <sheetViews>
    <sheetView workbookViewId="0">
      <pane ySplit="3" topLeftCell="A47" activePane="bottomLeft" state="frozen"/>
      <selection/>
      <selection pane="bottomLeft" activeCell="F18" sqref="F18"/>
    </sheetView>
  </sheetViews>
  <sheetFormatPr defaultColWidth="8.71875" defaultRowHeight="16.8"/>
  <cols>
    <col min="1" max="1" width="18" style="1" customWidth="1"/>
    <col min="2" max="2" width="8" style="1" customWidth="1"/>
    <col min="3" max="3" width="10" style="1" customWidth="1"/>
    <col min="4" max="4" width="12" style="1" customWidth="1"/>
    <col min="5" max="5" width="14" style="1" customWidth="1"/>
    <col min="6" max="6" width="16" style="1" customWidth="1"/>
    <col min="7" max="7" width="13" style="1" customWidth="1"/>
    <col min="8" max="8" width="18" style="1" customWidth="1"/>
    <col min="9" max="9" width="22" style="1" customWidth="1"/>
  </cols>
  <sheetData>
    <row r="1" ht="21" customHeight="1" spans="1:9">
      <c r="A1" s="36" t="s">
        <v>85</v>
      </c>
    </row>
    <row r="2" ht="16.5" customHeight="1" spans="1:9">
      <c r="A2" s="11" t="s">
        <v>1</v>
      </c>
      <c r="B2" s="22">
        <v>0.15</v>
      </c>
      <c r="C2" s="23" t="s">
        <v>2</v>
      </c>
    </row>
    <row r="3" ht="27.75" customHeight="1" spans="1:9">
      <c r="A3" s="24" t="s">
        <v>3</v>
      </c>
      <c r="B3" s="24" t="s">
        <v>4</v>
      </c>
      <c r="C3" s="24" t="s">
        <v>5</v>
      </c>
      <c r="D3" s="24" t="s">
        <v>6</v>
      </c>
      <c r="E3" s="24" t="s">
        <v>7</v>
      </c>
      <c r="F3" s="24" t="s">
        <v>8</v>
      </c>
      <c r="G3" s="24" t="s">
        <v>9</v>
      </c>
      <c r="H3" s="24" t="s">
        <v>10</v>
      </c>
      <c r="I3" s="24" t="s">
        <v>11</v>
      </c>
    </row>
    <row r="4" ht="16.5" customHeight="1" spans="1:9">
      <c r="A4" s="27" t="s">
        <v>86</v>
      </c>
      <c r="B4" s="26" t="s">
        <v>13</v>
      </c>
      <c r="C4" s="27" t="s">
        <v>14</v>
      </c>
      <c r="D4" s="27" t="s">
        <v>15</v>
      </c>
      <c r="E4" s="28">
        <f t="shared" ref="E4:E15" si="0">IF($F4="","",$F4*$B$2)</f>
        <v>0.75</v>
      </c>
      <c r="F4" s="29">
        <v>5</v>
      </c>
      <c r="G4" s="30"/>
      <c r="H4" s="31"/>
      <c r="I4" s="31" t="s">
        <v>87</v>
      </c>
    </row>
    <row r="5" ht="16.5" customHeight="1" spans="1:9">
      <c r="A5" s="27" t="s">
        <v>86</v>
      </c>
      <c r="B5" s="26" t="s">
        <v>13</v>
      </c>
      <c r="C5" s="27" t="s">
        <v>14</v>
      </c>
      <c r="D5" s="27" t="s">
        <v>17</v>
      </c>
      <c r="E5" s="28">
        <f t="shared" si="0"/>
        <v>3</v>
      </c>
      <c r="F5" s="29">
        <v>20</v>
      </c>
      <c r="G5" s="30"/>
      <c r="H5" s="31"/>
      <c r="I5" s="31" t="s">
        <v>87</v>
      </c>
    </row>
    <row r="6" ht="16.5" customHeight="1" spans="1:9">
      <c r="A6" s="27" t="s">
        <v>86</v>
      </c>
      <c r="B6" s="26" t="s">
        <v>13</v>
      </c>
      <c r="C6" s="27" t="s">
        <v>14</v>
      </c>
      <c r="D6" s="27" t="s">
        <v>19</v>
      </c>
      <c r="E6" s="28">
        <f t="shared" si="0"/>
        <v>3.45</v>
      </c>
      <c r="F6" s="29">
        <v>23</v>
      </c>
      <c r="G6" s="30"/>
      <c r="H6" s="31"/>
      <c r="I6" s="31" t="s">
        <v>87</v>
      </c>
    </row>
    <row r="7" ht="16.5" customHeight="1" spans="1:9">
      <c r="A7" s="27" t="s">
        <v>86</v>
      </c>
      <c r="B7" s="26" t="s">
        <v>13</v>
      </c>
      <c r="C7" s="27" t="s">
        <v>14</v>
      </c>
      <c r="D7" s="27" t="s">
        <v>20</v>
      </c>
      <c r="E7" s="28">
        <f t="shared" si="0"/>
        <v>3.9</v>
      </c>
      <c r="F7" s="29">
        <v>26</v>
      </c>
      <c r="G7" s="30"/>
      <c r="H7" s="31"/>
      <c r="I7" s="31" t="s">
        <v>87</v>
      </c>
    </row>
    <row r="8" ht="16.5" customHeight="1" spans="1:9">
      <c r="A8" s="27" t="s">
        <v>86</v>
      </c>
      <c r="B8" s="26" t="s">
        <v>13</v>
      </c>
      <c r="C8" s="27" t="s">
        <v>14</v>
      </c>
      <c r="D8" s="27" t="s">
        <v>21</v>
      </c>
      <c r="E8" s="28">
        <f t="shared" si="0"/>
        <v>6</v>
      </c>
      <c r="F8" s="29">
        <v>40</v>
      </c>
      <c r="G8" s="30"/>
      <c r="H8" s="31"/>
      <c r="I8" s="31" t="s">
        <v>87</v>
      </c>
    </row>
    <row r="9" ht="16.5" customHeight="1" spans="1:9">
      <c r="A9" s="27" t="s">
        <v>86</v>
      </c>
      <c r="B9" s="26" t="s">
        <v>13</v>
      </c>
      <c r="C9" s="27" t="s">
        <v>14</v>
      </c>
      <c r="D9" s="27" t="s">
        <v>22</v>
      </c>
      <c r="E9" s="28">
        <f t="shared" si="0"/>
        <v>7.5</v>
      </c>
      <c r="F9" s="29">
        <v>50</v>
      </c>
      <c r="G9" s="30"/>
      <c r="H9" s="31"/>
      <c r="I9" s="31" t="s">
        <v>87</v>
      </c>
    </row>
    <row r="10" ht="16.5" customHeight="1" spans="1:9">
      <c r="A10" s="33" t="s">
        <v>86</v>
      </c>
      <c r="B10" s="32" t="s">
        <v>24</v>
      </c>
      <c r="C10" s="33" t="s">
        <v>14</v>
      </c>
      <c r="D10" s="33" t="s">
        <v>20</v>
      </c>
      <c r="E10" s="34">
        <f t="shared" si="0"/>
        <v>3</v>
      </c>
      <c r="F10" s="29">
        <v>20</v>
      </c>
      <c r="G10" s="30"/>
      <c r="H10" s="35"/>
      <c r="I10" s="35" t="s">
        <v>87</v>
      </c>
    </row>
    <row r="11" ht="16.5" customHeight="1" spans="1:9">
      <c r="A11" s="33" t="s">
        <v>86</v>
      </c>
      <c r="B11" s="32" t="s">
        <v>24</v>
      </c>
      <c r="C11" s="33" t="s">
        <v>14</v>
      </c>
      <c r="D11" s="33" t="s">
        <v>21</v>
      </c>
      <c r="E11" s="34">
        <f t="shared" si="0"/>
        <v>4.5</v>
      </c>
      <c r="F11" s="29">
        <v>30</v>
      </c>
      <c r="G11" s="30"/>
      <c r="H11" s="35"/>
      <c r="I11" s="35" t="s">
        <v>87</v>
      </c>
    </row>
    <row r="12" ht="16.5" customHeight="1" spans="1:9">
      <c r="A12" s="33" t="s">
        <v>86</v>
      </c>
      <c r="B12" s="32" t="s">
        <v>24</v>
      </c>
      <c r="C12" s="33" t="s">
        <v>14</v>
      </c>
      <c r="D12" s="33" t="s">
        <v>22</v>
      </c>
      <c r="E12" s="34">
        <f t="shared" si="0"/>
        <v>5.55</v>
      </c>
      <c r="F12" s="29">
        <v>37</v>
      </c>
      <c r="G12" s="30"/>
      <c r="H12" s="35"/>
      <c r="I12" s="35" t="s">
        <v>87</v>
      </c>
    </row>
    <row r="13" ht="16.5" customHeight="1" spans="1:9">
      <c r="A13" s="33" t="s">
        <v>86</v>
      </c>
      <c r="B13" s="32" t="s">
        <v>24</v>
      </c>
      <c r="C13" s="33" t="s">
        <v>14</v>
      </c>
      <c r="D13" s="33" t="s">
        <v>23</v>
      </c>
      <c r="E13" s="34">
        <f t="shared" si="0"/>
        <v>7.5</v>
      </c>
      <c r="F13" s="29">
        <v>50</v>
      </c>
      <c r="G13" s="30"/>
      <c r="H13" s="35"/>
      <c r="I13" s="35" t="s">
        <v>87</v>
      </c>
    </row>
    <row r="14" ht="16.5" customHeight="1" spans="1:9">
      <c r="A14" s="33" t="s">
        <v>86</v>
      </c>
      <c r="B14" s="32" t="s">
        <v>24</v>
      </c>
      <c r="C14" s="33" t="s">
        <v>14</v>
      </c>
      <c r="D14" s="33" t="s">
        <v>25</v>
      </c>
      <c r="E14" s="34">
        <f t="shared" si="0"/>
        <v>10.5</v>
      </c>
      <c r="F14" s="29">
        <v>70</v>
      </c>
      <c r="G14" s="30"/>
      <c r="H14" s="35"/>
      <c r="I14" s="35" t="s">
        <v>87</v>
      </c>
    </row>
    <row r="15" ht="16.5" customHeight="1" spans="1:9">
      <c r="A15" s="33" t="s">
        <v>86</v>
      </c>
      <c r="B15" s="32" t="s">
        <v>24</v>
      </c>
      <c r="C15" s="33" t="s">
        <v>14</v>
      </c>
      <c r="D15" s="33" t="s">
        <v>26</v>
      </c>
      <c r="E15" s="34">
        <f t="shared" si="0"/>
        <v>15</v>
      </c>
      <c r="F15" s="29">
        <v>100</v>
      </c>
      <c r="G15" s="30"/>
      <c r="H15" s="35"/>
      <c r="I15" s="35" t="s">
        <v>87</v>
      </c>
    </row>
    <row r="16" ht="16.5" customHeight="1" spans="1:9">
      <c r="A16" s="27" t="s">
        <v>86</v>
      </c>
      <c r="B16" s="26" t="s">
        <v>27</v>
      </c>
      <c r="C16" s="27" t="s">
        <v>28</v>
      </c>
      <c r="D16" s="27" t="s">
        <v>30</v>
      </c>
      <c r="E16" s="28" t="s">
        <v>31</v>
      </c>
      <c r="F16" s="29" t="s">
        <v>32</v>
      </c>
      <c r="G16" s="30"/>
      <c r="H16" s="31"/>
      <c r="I16" s="31" t="s">
        <v>87</v>
      </c>
    </row>
    <row r="17" ht="16.5" customHeight="1" spans="1:9">
      <c r="A17" s="27" t="s">
        <v>86</v>
      </c>
      <c r="B17" s="26" t="s">
        <v>27</v>
      </c>
      <c r="C17" s="27" t="s">
        <v>28</v>
      </c>
      <c r="D17" s="27" t="s">
        <v>33</v>
      </c>
      <c r="E17" s="28" t="s">
        <v>31</v>
      </c>
      <c r="F17" s="29" t="s">
        <v>32</v>
      </c>
      <c r="G17" s="30"/>
      <c r="H17" s="31"/>
      <c r="I17" s="31" t="s">
        <v>87</v>
      </c>
    </row>
    <row r="18" ht="16.5" customHeight="1" spans="1:9">
      <c r="A18" s="27" t="s">
        <v>86</v>
      </c>
      <c r="B18" s="26" t="s">
        <v>27</v>
      </c>
      <c r="C18" s="27" t="s">
        <v>28</v>
      </c>
      <c r="D18" s="27" t="s">
        <v>37</v>
      </c>
      <c r="E18" s="28" t="s">
        <v>35</v>
      </c>
      <c r="F18" s="29" t="s">
        <v>36</v>
      </c>
      <c r="G18" s="30"/>
      <c r="H18" s="31"/>
      <c r="I18" s="31" t="s">
        <v>87</v>
      </c>
    </row>
    <row r="19" ht="16.5" customHeight="1" spans="1:9">
      <c r="A19" s="27" t="s">
        <v>86</v>
      </c>
      <c r="B19" s="26" t="s">
        <v>27</v>
      </c>
      <c r="C19" s="27" t="s">
        <v>28</v>
      </c>
      <c r="D19" s="27" t="s">
        <v>43</v>
      </c>
      <c r="E19" s="28" t="str">
        <f>IF($F19="","",$F19*$B$2)</f>
        <v/>
      </c>
      <c r="F19" s="29"/>
      <c r="G19" s="30"/>
      <c r="H19" s="31"/>
      <c r="I19" s="31"/>
    </row>
    <row r="20" ht="16.5" customHeight="1" spans="1:9">
      <c r="A20" s="27" t="s">
        <v>86</v>
      </c>
      <c r="B20" s="26" t="s">
        <v>27</v>
      </c>
      <c r="C20" s="27" t="s">
        <v>28</v>
      </c>
      <c r="D20" s="27" t="s">
        <v>41</v>
      </c>
      <c r="E20" s="28" t="s">
        <v>39</v>
      </c>
      <c r="F20" s="29" t="s">
        <v>40</v>
      </c>
      <c r="G20" s="30"/>
      <c r="H20" s="31"/>
      <c r="I20" s="31" t="s">
        <v>87</v>
      </c>
    </row>
    <row r="21" ht="16.5" customHeight="1" spans="1:9">
      <c r="A21" s="33" t="s">
        <v>86</v>
      </c>
      <c r="B21" s="32" t="s">
        <v>27</v>
      </c>
      <c r="C21" s="33" t="s">
        <v>44</v>
      </c>
      <c r="D21" s="33" t="s">
        <v>37</v>
      </c>
      <c r="E21" s="34" t="s">
        <v>35</v>
      </c>
      <c r="F21" s="29" t="s">
        <v>36</v>
      </c>
      <c r="G21" s="30"/>
      <c r="H21" s="35"/>
      <c r="I21" s="35" t="s">
        <v>87</v>
      </c>
    </row>
    <row r="22" ht="16.5" customHeight="1" spans="1:9">
      <c r="A22" s="33" t="s">
        <v>86</v>
      </c>
      <c r="B22" s="32" t="s">
        <v>27</v>
      </c>
      <c r="C22" s="33" t="s">
        <v>44</v>
      </c>
      <c r="D22" s="33" t="s">
        <v>41</v>
      </c>
      <c r="E22" s="34" t="s">
        <v>39</v>
      </c>
      <c r="F22" s="29" t="s">
        <v>40</v>
      </c>
      <c r="G22" s="30"/>
      <c r="H22" s="35"/>
      <c r="I22" s="35" t="s">
        <v>87</v>
      </c>
    </row>
    <row r="23" ht="16.5" customHeight="1" spans="1:9">
      <c r="A23" s="33" t="s">
        <v>86</v>
      </c>
      <c r="B23" s="32" t="s">
        <v>27</v>
      </c>
      <c r="C23" s="33" t="s">
        <v>44</v>
      </c>
      <c r="D23" s="33" t="s">
        <v>88</v>
      </c>
      <c r="E23" s="34" t="str">
        <f>IF($F23="","",$F23*$B$2)</f>
        <v/>
      </c>
      <c r="F23" s="29"/>
      <c r="G23" s="30"/>
      <c r="H23" s="35"/>
      <c r="I23" s="35"/>
    </row>
    <row r="24" ht="16.5" customHeight="1" spans="1:9">
      <c r="A24" s="33" t="s">
        <v>86</v>
      </c>
      <c r="B24" s="32" t="s">
        <v>27</v>
      </c>
      <c r="C24" s="33" t="s">
        <v>44</v>
      </c>
      <c r="D24" s="33" t="s">
        <v>48</v>
      </c>
      <c r="E24" s="34" t="s">
        <v>46</v>
      </c>
      <c r="F24" s="29" t="s">
        <v>47</v>
      </c>
      <c r="G24" s="30"/>
      <c r="H24" s="35"/>
      <c r="I24" s="35" t="s">
        <v>87</v>
      </c>
    </row>
    <row r="25" ht="16.5" customHeight="1" spans="1:9">
      <c r="A25" s="33" t="s">
        <v>86</v>
      </c>
      <c r="B25" s="32" t="s">
        <v>27</v>
      </c>
      <c r="C25" s="33" t="s">
        <v>44</v>
      </c>
      <c r="D25" s="33" t="s">
        <v>49</v>
      </c>
      <c r="E25" s="34" t="s">
        <v>46</v>
      </c>
      <c r="F25" s="29" t="s">
        <v>47</v>
      </c>
      <c r="G25" s="30"/>
      <c r="H25" s="35"/>
      <c r="I25" s="35" t="s">
        <v>87</v>
      </c>
    </row>
    <row r="26" ht="16.5" customHeight="1" spans="1:9">
      <c r="A26" s="27" t="s">
        <v>86</v>
      </c>
      <c r="B26" s="26" t="s">
        <v>50</v>
      </c>
      <c r="C26" s="27" t="s">
        <v>44</v>
      </c>
      <c r="D26" s="27" t="s">
        <v>41</v>
      </c>
      <c r="E26" s="28" t="s">
        <v>39</v>
      </c>
      <c r="F26" s="29" t="s">
        <v>40</v>
      </c>
      <c r="G26" s="30"/>
      <c r="H26" s="31"/>
      <c r="I26" s="31" t="s">
        <v>87</v>
      </c>
    </row>
    <row r="27" ht="16.5" customHeight="1" spans="1:9">
      <c r="A27" s="27" t="s">
        <v>86</v>
      </c>
      <c r="B27" s="26" t="s">
        <v>50</v>
      </c>
      <c r="C27" s="27" t="s">
        <v>44</v>
      </c>
      <c r="D27" s="27" t="s">
        <v>45</v>
      </c>
      <c r="E27" s="28" t="s">
        <v>46</v>
      </c>
      <c r="F27" s="29" t="s">
        <v>47</v>
      </c>
      <c r="G27" s="30"/>
      <c r="H27" s="31"/>
      <c r="I27" s="31" t="s">
        <v>87</v>
      </c>
    </row>
    <row r="28" ht="16.5" customHeight="1" spans="1:9">
      <c r="A28" s="27" t="s">
        <v>86</v>
      </c>
      <c r="B28" s="26" t="s">
        <v>50</v>
      </c>
      <c r="C28" s="27" t="s">
        <v>44</v>
      </c>
      <c r="D28" s="27" t="s">
        <v>48</v>
      </c>
      <c r="E28" s="28" t="s">
        <v>46</v>
      </c>
      <c r="F28" s="29" t="s">
        <v>47</v>
      </c>
      <c r="G28" s="30"/>
      <c r="H28" s="31"/>
      <c r="I28" s="31" t="s">
        <v>87</v>
      </c>
    </row>
    <row r="29" ht="16.5" customHeight="1" spans="1:9">
      <c r="A29" s="27" t="s">
        <v>86</v>
      </c>
      <c r="B29" s="26" t="s">
        <v>50</v>
      </c>
      <c r="C29" s="27" t="s">
        <v>44</v>
      </c>
      <c r="D29" s="27" t="s">
        <v>49</v>
      </c>
      <c r="E29" s="28" t="s">
        <v>46</v>
      </c>
      <c r="F29" s="29" t="s">
        <v>47</v>
      </c>
      <c r="G29" s="30"/>
      <c r="H29" s="31"/>
      <c r="I29" s="31" t="s">
        <v>87</v>
      </c>
    </row>
    <row r="30" ht="16.5" customHeight="1" spans="1:9">
      <c r="A30" s="27" t="s">
        <v>86</v>
      </c>
      <c r="B30" s="26" t="s">
        <v>50</v>
      </c>
      <c r="C30" s="27" t="s">
        <v>44</v>
      </c>
      <c r="D30" s="27" t="s">
        <v>52</v>
      </c>
      <c r="E30" s="28" t="str">
        <f>IF($F30="","",$F30*$B$2)</f>
        <v/>
      </c>
      <c r="F30" s="29"/>
      <c r="G30" s="30"/>
      <c r="H30" s="31"/>
      <c r="I30" s="31"/>
    </row>
    <row r="31" ht="16.5" customHeight="1" spans="1:9">
      <c r="A31" s="33" t="s">
        <v>86</v>
      </c>
      <c r="B31" s="32" t="s">
        <v>50</v>
      </c>
      <c r="C31" s="33" t="s">
        <v>51</v>
      </c>
      <c r="D31" s="33" t="s">
        <v>49</v>
      </c>
      <c r="E31" s="34" t="s">
        <v>46</v>
      </c>
      <c r="F31" s="29" t="s">
        <v>47</v>
      </c>
      <c r="G31" s="30"/>
      <c r="H31" s="35"/>
      <c r="I31" s="35" t="s">
        <v>87</v>
      </c>
    </row>
    <row r="32" ht="16.5" customHeight="1" spans="1:9">
      <c r="A32" s="33" t="s">
        <v>86</v>
      </c>
      <c r="B32" s="32" t="s">
        <v>50</v>
      </c>
      <c r="C32" s="33" t="s">
        <v>51</v>
      </c>
      <c r="D32" s="33" t="s">
        <v>52</v>
      </c>
      <c r="E32" s="34" t="s">
        <v>53</v>
      </c>
      <c r="F32" s="29" t="s">
        <v>54</v>
      </c>
      <c r="G32" s="30"/>
      <c r="H32" s="35"/>
      <c r="I32" s="35" t="s">
        <v>87</v>
      </c>
    </row>
    <row r="33" ht="16.5" customHeight="1" spans="1:9">
      <c r="A33" s="33" t="s">
        <v>86</v>
      </c>
      <c r="B33" s="32" t="s">
        <v>50</v>
      </c>
      <c r="C33" s="33" t="s">
        <v>51</v>
      </c>
      <c r="D33" s="33" t="s">
        <v>58</v>
      </c>
      <c r="E33" s="34" t="str">
        <f t="shared" ref="E33:E77" si="1">IF($F33="","",$F33*$B$2)</f>
        <v/>
      </c>
      <c r="F33" s="29"/>
      <c r="G33" s="30"/>
      <c r="H33" s="35"/>
      <c r="I33" s="35"/>
    </row>
    <row r="34" ht="16.5" customHeight="1" spans="1:9">
      <c r="A34" s="33" t="s">
        <v>86</v>
      </c>
      <c r="B34" s="32" t="s">
        <v>50</v>
      </c>
      <c r="C34" s="33" t="s">
        <v>51</v>
      </c>
      <c r="D34" s="33" t="s">
        <v>59</v>
      </c>
      <c r="E34" s="34" t="str">
        <f t="shared" si="1"/>
        <v/>
      </c>
      <c r="F34" s="29"/>
      <c r="G34" s="30"/>
      <c r="H34" s="35"/>
      <c r="I34" s="35"/>
    </row>
    <row r="35" ht="16.5" customHeight="1" spans="1:9">
      <c r="A35" s="33" t="s">
        <v>86</v>
      </c>
      <c r="B35" s="32" t="s">
        <v>50</v>
      </c>
      <c r="C35" s="33" t="s">
        <v>51</v>
      </c>
      <c r="D35" s="33" t="s">
        <v>89</v>
      </c>
      <c r="E35" s="34" t="str">
        <f t="shared" si="1"/>
        <v/>
      </c>
      <c r="F35" s="29"/>
      <c r="G35" s="30"/>
      <c r="H35" s="35"/>
      <c r="I35" s="35"/>
    </row>
    <row r="36" ht="16.5" customHeight="1" spans="1:9">
      <c r="A36" s="27" t="s">
        <v>86</v>
      </c>
      <c r="B36" s="26" t="s">
        <v>62</v>
      </c>
      <c r="C36" s="27" t="s">
        <v>28</v>
      </c>
      <c r="D36" s="27" t="s">
        <v>63</v>
      </c>
      <c r="E36" s="28">
        <f t="shared" si="1"/>
        <v>0.75</v>
      </c>
      <c r="F36" s="29">
        <v>5</v>
      </c>
      <c r="G36" s="30"/>
      <c r="H36" s="31"/>
      <c r="I36" s="31" t="s">
        <v>87</v>
      </c>
    </row>
    <row r="37" ht="16.5" customHeight="1" spans="1:9">
      <c r="A37" s="27" t="s">
        <v>86</v>
      </c>
      <c r="B37" s="26" t="s">
        <v>62</v>
      </c>
      <c r="C37" s="27" t="s">
        <v>28</v>
      </c>
      <c r="D37" s="27" t="s">
        <v>64</v>
      </c>
      <c r="E37" s="28">
        <f t="shared" si="1"/>
        <v>1.5</v>
      </c>
      <c r="F37" s="29">
        <v>10</v>
      </c>
      <c r="G37" s="30"/>
      <c r="H37" s="31"/>
      <c r="I37" s="31" t="s">
        <v>87</v>
      </c>
    </row>
    <row r="38" ht="16.5" customHeight="1" spans="1:9">
      <c r="A38" s="27" t="s">
        <v>86</v>
      </c>
      <c r="B38" s="26" t="s">
        <v>62</v>
      </c>
      <c r="C38" s="27" t="s">
        <v>28</v>
      </c>
      <c r="D38" s="27" t="s">
        <v>65</v>
      </c>
      <c r="E38" s="28">
        <f t="shared" si="1"/>
        <v>2.25</v>
      </c>
      <c r="F38" s="29">
        <v>15</v>
      </c>
      <c r="G38" s="30"/>
      <c r="H38" s="31"/>
      <c r="I38" s="31" t="s">
        <v>87</v>
      </c>
    </row>
    <row r="39" ht="16.5" customHeight="1" spans="1:9">
      <c r="A39" s="27" t="s">
        <v>86</v>
      </c>
      <c r="B39" s="26" t="s">
        <v>62</v>
      </c>
      <c r="C39" s="27" t="s">
        <v>28</v>
      </c>
      <c r="D39" s="27" t="s">
        <v>15</v>
      </c>
      <c r="E39" s="28">
        <f t="shared" si="1"/>
        <v>2.55</v>
      </c>
      <c r="F39" s="29">
        <v>17</v>
      </c>
      <c r="G39" s="30"/>
      <c r="H39" s="31"/>
      <c r="I39" s="31" t="s">
        <v>87</v>
      </c>
    </row>
    <row r="40" ht="16.5" customHeight="1" spans="1:9">
      <c r="A40" s="33" t="s">
        <v>86</v>
      </c>
      <c r="B40" s="32" t="s">
        <v>62</v>
      </c>
      <c r="C40" s="33" t="s">
        <v>42</v>
      </c>
      <c r="D40" s="33" t="s">
        <v>64</v>
      </c>
      <c r="E40" s="34">
        <f t="shared" si="1"/>
        <v>2.25</v>
      </c>
      <c r="F40" s="29">
        <v>15</v>
      </c>
      <c r="G40" s="30"/>
      <c r="H40" s="35"/>
      <c r="I40" s="35" t="s">
        <v>87</v>
      </c>
    </row>
    <row r="41" ht="16.5" customHeight="1" spans="1:9">
      <c r="A41" s="33" t="s">
        <v>86</v>
      </c>
      <c r="B41" s="32" t="s">
        <v>62</v>
      </c>
      <c r="C41" s="33" t="s">
        <v>42</v>
      </c>
      <c r="D41" s="33" t="s">
        <v>65</v>
      </c>
      <c r="E41" s="34">
        <f t="shared" si="1"/>
        <v>3</v>
      </c>
      <c r="F41" s="29">
        <v>20</v>
      </c>
      <c r="G41" s="30"/>
      <c r="H41" s="35"/>
      <c r="I41" s="35" t="s">
        <v>87</v>
      </c>
    </row>
    <row r="42" ht="16.5" customHeight="1" spans="1:9">
      <c r="A42" s="33" t="s">
        <v>86</v>
      </c>
      <c r="B42" s="32" t="s">
        <v>62</v>
      </c>
      <c r="C42" s="33" t="s">
        <v>42</v>
      </c>
      <c r="D42" s="33" t="s">
        <v>15</v>
      </c>
      <c r="E42" s="34">
        <f t="shared" si="1"/>
        <v>3.75</v>
      </c>
      <c r="F42" s="29">
        <v>25</v>
      </c>
      <c r="G42" s="30"/>
      <c r="H42" s="35"/>
      <c r="I42" s="35" t="s">
        <v>87</v>
      </c>
    </row>
    <row r="43" ht="16.5" customHeight="1" spans="1:9">
      <c r="A43" s="33" t="s">
        <v>86</v>
      </c>
      <c r="B43" s="32" t="s">
        <v>62</v>
      </c>
      <c r="C43" s="33" t="s">
        <v>42</v>
      </c>
      <c r="D43" s="33" t="s">
        <v>66</v>
      </c>
      <c r="E43" s="34">
        <f t="shared" si="1"/>
        <v>4.5</v>
      </c>
      <c r="F43" s="29">
        <v>30</v>
      </c>
      <c r="G43" s="30"/>
      <c r="H43" s="35"/>
      <c r="I43" s="35" t="s">
        <v>87</v>
      </c>
    </row>
    <row r="44" ht="16.5" customHeight="1" spans="1:9">
      <c r="A44" s="33" t="s">
        <v>86</v>
      </c>
      <c r="B44" s="32" t="s">
        <v>62</v>
      </c>
      <c r="C44" s="33" t="s">
        <v>42</v>
      </c>
      <c r="D44" s="33" t="s">
        <v>17</v>
      </c>
      <c r="E44" s="34">
        <f t="shared" si="1"/>
        <v>6</v>
      </c>
      <c r="F44" s="29">
        <v>40</v>
      </c>
      <c r="G44" s="30"/>
      <c r="H44" s="35"/>
      <c r="I44" s="35" t="s">
        <v>87</v>
      </c>
    </row>
    <row r="45" ht="16.5" customHeight="1" spans="1:9">
      <c r="A45" s="27" t="s">
        <v>86</v>
      </c>
      <c r="B45" s="26" t="s">
        <v>62</v>
      </c>
      <c r="C45" s="27" t="s">
        <v>44</v>
      </c>
      <c r="D45" s="27" t="s">
        <v>64</v>
      </c>
      <c r="E45" s="28">
        <f t="shared" si="1"/>
        <v>1.5</v>
      </c>
      <c r="F45" s="29">
        <v>10</v>
      </c>
      <c r="G45" s="30"/>
      <c r="H45" s="31"/>
      <c r="I45" s="31" t="s">
        <v>87</v>
      </c>
    </row>
    <row r="46" ht="16.5" customHeight="1" spans="1:9">
      <c r="A46" s="27" t="s">
        <v>86</v>
      </c>
      <c r="B46" s="26" t="s">
        <v>62</v>
      </c>
      <c r="C46" s="27" t="s">
        <v>44</v>
      </c>
      <c r="D46" s="27" t="s">
        <v>65</v>
      </c>
      <c r="E46" s="28">
        <f t="shared" si="1"/>
        <v>2.25</v>
      </c>
      <c r="F46" s="29">
        <v>15</v>
      </c>
      <c r="G46" s="30"/>
      <c r="H46" s="31"/>
      <c r="I46" s="31" t="s">
        <v>87</v>
      </c>
    </row>
    <row r="47" ht="16.5" customHeight="1" spans="1:9">
      <c r="A47" s="27" t="s">
        <v>86</v>
      </c>
      <c r="B47" s="26" t="s">
        <v>62</v>
      </c>
      <c r="C47" s="27" t="s">
        <v>44</v>
      </c>
      <c r="D47" s="27" t="s">
        <v>15</v>
      </c>
      <c r="E47" s="28">
        <f t="shared" si="1"/>
        <v>2.55</v>
      </c>
      <c r="F47" s="29">
        <v>17</v>
      </c>
      <c r="G47" s="30"/>
      <c r="H47" s="31"/>
      <c r="I47" s="31" t="s">
        <v>87</v>
      </c>
    </row>
    <row r="48" ht="16.5" customHeight="1" spans="1:9">
      <c r="A48" s="27" t="s">
        <v>86</v>
      </c>
      <c r="B48" s="26" t="s">
        <v>62</v>
      </c>
      <c r="C48" s="27" t="s">
        <v>44</v>
      </c>
      <c r="D48" s="27" t="s">
        <v>66</v>
      </c>
      <c r="E48" s="28">
        <f t="shared" si="1"/>
        <v>4.5</v>
      </c>
      <c r="F48" s="29">
        <v>30</v>
      </c>
      <c r="G48" s="30"/>
      <c r="H48" s="31"/>
      <c r="I48" s="31" t="s">
        <v>87</v>
      </c>
    </row>
    <row r="49" ht="16.5" customHeight="1" spans="1:9">
      <c r="A49" s="27" t="s">
        <v>86</v>
      </c>
      <c r="B49" s="26" t="s">
        <v>62</v>
      </c>
      <c r="C49" s="27" t="s">
        <v>44</v>
      </c>
      <c r="D49" s="27" t="s">
        <v>17</v>
      </c>
      <c r="E49" s="28">
        <f t="shared" si="1"/>
        <v>6</v>
      </c>
      <c r="F49" s="29">
        <v>40</v>
      </c>
      <c r="G49" s="30"/>
      <c r="H49" s="31"/>
      <c r="I49" s="31" t="s">
        <v>87</v>
      </c>
    </row>
    <row r="50" ht="16.5" customHeight="1" spans="1:9">
      <c r="A50" s="33" t="s">
        <v>86</v>
      </c>
      <c r="B50" s="32" t="s">
        <v>62</v>
      </c>
      <c r="C50" s="33" t="s">
        <v>51</v>
      </c>
      <c r="D50" s="33" t="s">
        <v>15</v>
      </c>
      <c r="E50" s="34">
        <f t="shared" si="1"/>
        <v>12</v>
      </c>
      <c r="F50" s="29">
        <v>80</v>
      </c>
      <c r="G50" s="30"/>
      <c r="H50" s="35"/>
      <c r="I50" s="35" t="s">
        <v>87</v>
      </c>
    </row>
    <row r="51" ht="16.5" customHeight="1" spans="1:9">
      <c r="A51" s="33" t="s">
        <v>86</v>
      </c>
      <c r="B51" s="32" t="s">
        <v>62</v>
      </c>
      <c r="C51" s="33" t="s">
        <v>51</v>
      </c>
      <c r="D51" s="33" t="s">
        <v>66</v>
      </c>
      <c r="E51" s="34">
        <f t="shared" si="1"/>
        <v>15</v>
      </c>
      <c r="F51" s="29">
        <v>100</v>
      </c>
      <c r="G51" s="30"/>
      <c r="H51" s="35"/>
      <c r="I51" s="35" t="s">
        <v>87</v>
      </c>
    </row>
    <row r="52" ht="16.5" customHeight="1" spans="1:9">
      <c r="A52" s="33" t="s">
        <v>86</v>
      </c>
      <c r="B52" s="32" t="s">
        <v>62</v>
      </c>
      <c r="C52" s="33" t="s">
        <v>51</v>
      </c>
      <c r="D52" s="33" t="s">
        <v>17</v>
      </c>
      <c r="E52" s="34">
        <f t="shared" si="1"/>
        <v>18</v>
      </c>
      <c r="F52" s="29">
        <v>120</v>
      </c>
      <c r="G52" s="30"/>
      <c r="H52" s="35"/>
      <c r="I52" s="35" t="s">
        <v>87</v>
      </c>
    </row>
    <row r="53" ht="16.5" customHeight="1" spans="1:9">
      <c r="A53" s="33" t="s">
        <v>86</v>
      </c>
      <c r="B53" s="32" t="s">
        <v>62</v>
      </c>
      <c r="C53" s="33" t="s">
        <v>51</v>
      </c>
      <c r="D53" s="33" t="s">
        <v>67</v>
      </c>
      <c r="E53" s="34">
        <f t="shared" si="1"/>
        <v>22.5</v>
      </c>
      <c r="F53" s="29">
        <v>150</v>
      </c>
      <c r="G53" s="30"/>
      <c r="H53" s="35"/>
      <c r="I53" s="35" t="s">
        <v>87</v>
      </c>
    </row>
    <row r="54" ht="16.5" customHeight="1" spans="1:9">
      <c r="A54" s="33" t="s">
        <v>86</v>
      </c>
      <c r="B54" s="32" t="s">
        <v>62</v>
      </c>
      <c r="C54" s="33" t="s">
        <v>51</v>
      </c>
      <c r="D54" s="33" t="s">
        <v>19</v>
      </c>
      <c r="E54" s="34">
        <f t="shared" si="1"/>
        <v>27</v>
      </c>
      <c r="F54" s="29">
        <v>180</v>
      </c>
      <c r="G54" s="30"/>
      <c r="H54" s="35"/>
      <c r="I54" s="35" t="s">
        <v>87</v>
      </c>
    </row>
    <row r="55" ht="16.5" customHeight="1" spans="1:9">
      <c r="A55" s="27" t="s">
        <v>86</v>
      </c>
      <c r="B55" s="26" t="s">
        <v>62</v>
      </c>
      <c r="C55" s="27" t="s">
        <v>55</v>
      </c>
      <c r="D55" s="27" t="s">
        <v>17</v>
      </c>
      <c r="E55" s="28">
        <f t="shared" si="1"/>
        <v>18</v>
      </c>
      <c r="F55" s="29">
        <v>120</v>
      </c>
      <c r="G55" s="30"/>
      <c r="H55" s="31"/>
      <c r="I55" s="31" t="s">
        <v>87</v>
      </c>
    </row>
    <row r="56" ht="16.5" customHeight="1" spans="1:9">
      <c r="A56" s="27" t="s">
        <v>86</v>
      </c>
      <c r="B56" s="26" t="s">
        <v>62</v>
      </c>
      <c r="C56" s="27" t="s">
        <v>55</v>
      </c>
      <c r="D56" s="27" t="s">
        <v>67</v>
      </c>
      <c r="E56" s="28">
        <f t="shared" si="1"/>
        <v>22.5</v>
      </c>
      <c r="F56" s="29">
        <v>150</v>
      </c>
      <c r="G56" s="30"/>
      <c r="H56" s="31"/>
      <c r="I56" s="31" t="s">
        <v>87</v>
      </c>
    </row>
    <row r="57" ht="16.5" customHeight="1" spans="1:9">
      <c r="A57" s="27" t="s">
        <v>86</v>
      </c>
      <c r="B57" s="26" t="s">
        <v>62</v>
      </c>
      <c r="C57" s="27" t="s">
        <v>55</v>
      </c>
      <c r="D57" s="27" t="s">
        <v>19</v>
      </c>
      <c r="E57" s="28">
        <f t="shared" si="1"/>
        <v>27</v>
      </c>
      <c r="F57" s="29">
        <v>180</v>
      </c>
      <c r="G57" s="30"/>
      <c r="H57" s="31"/>
      <c r="I57" s="31" t="s">
        <v>87</v>
      </c>
    </row>
    <row r="58" ht="16.5" customHeight="1" spans="1:9">
      <c r="A58" s="33" t="s">
        <v>86</v>
      </c>
      <c r="B58" s="32" t="s">
        <v>68</v>
      </c>
      <c r="C58" s="33" t="s">
        <v>69</v>
      </c>
      <c r="D58" s="33" t="s">
        <v>70</v>
      </c>
      <c r="E58" s="34">
        <f t="shared" si="1"/>
        <v>0.45</v>
      </c>
      <c r="F58" s="29">
        <v>3</v>
      </c>
      <c r="G58" s="30"/>
      <c r="H58" s="35"/>
      <c r="I58" s="35" t="s">
        <v>87</v>
      </c>
    </row>
    <row r="59" ht="16.5" customHeight="1" spans="1:9">
      <c r="A59" s="33" t="s">
        <v>86</v>
      </c>
      <c r="B59" s="32" t="s">
        <v>68</v>
      </c>
      <c r="C59" s="33" t="s">
        <v>69</v>
      </c>
      <c r="D59" s="33" t="s">
        <v>71</v>
      </c>
      <c r="E59" s="34">
        <f t="shared" si="1"/>
        <v>0.6</v>
      </c>
      <c r="F59" s="29">
        <v>4</v>
      </c>
      <c r="G59" s="30"/>
      <c r="H59" s="35"/>
      <c r="I59" s="35" t="s">
        <v>87</v>
      </c>
    </row>
    <row r="60" ht="16.5" customHeight="1" spans="1:9">
      <c r="A60" s="33" t="s">
        <v>86</v>
      </c>
      <c r="B60" s="32" t="s">
        <v>68</v>
      </c>
      <c r="C60" s="33" t="s">
        <v>69</v>
      </c>
      <c r="D60" s="33" t="s">
        <v>72</v>
      </c>
      <c r="E60" s="34">
        <f t="shared" si="1"/>
        <v>0.6</v>
      </c>
      <c r="F60" s="29">
        <v>4</v>
      </c>
      <c r="G60" s="30"/>
      <c r="H60" s="35"/>
      <c r="I60" s="35" t="s">
        <v>87</v>
      </c>
    </row>
    <row r="61" ht="16.5" customHeight="1" spans="1:9">
      <c r="A61" s="27" t="s">
        <v>86</v>
      </c>
      <c r="B61" s="26" t="s">
        <v>68</v>
      </c>
      <c r="C61" s="27" t="s">
        <v>73</v>
      </c>
      <c r="D61" s="27" t="s">
        <v>70</v>
      </c>
      <c r="E61" s="28">
        <f t="shared" si="1"/>
        <v>0.45</v>
      </c>
      <c r="F61" s="29">
        <v>3</v>
      </c>
      <c r="G61" s="30"/>
      <c r="H61" s="31"/>
      <c r="I61" s="31" t="s">
        <v>87</v>
      </c>
    </row>
    <row r="62" ht="16.5" customHeight="1" spans="1:9">
      <c r="A62" s="27" t="s">
        <v>86</v>
      </c>
      <c r="B62" s="26" t="s">
        <v>68</v>
      </c>
      <c r="C62" s="27" t="s">
        <v>73</v>
      </c>
      <c r="D62" s="27" t="s">
        <v>71</v>
      </c>
      <c r="E62" s="28">
        <f t="shared" si="1"/>
        <v>0.6</v>
      </c>
      <c r="F62" s="29">
        <v>4</v>
      </c>
      <c r="G62" s="30"/>
      <c r="H62" s="31"/>
      <c r="I62" s="31" t="s">
        <v>87</v>
      </c>
    </row>
    <row r="63" ht="16.5" customHeight="1" spans="1:9">
      <c r="A63" s="27" t="s">
        <v>86</v>
      </c>
      <c r="B63" s="26" t="s">
        <v>68</v>
      </c>
      <c r="C63" s="27" t="s">
        <v>73</v>
      </c>
      <c r="D63" s="27" t="s">
        <v>72</v>
      </c>
      <c r="E63" s="28">
        <f t="shared" si="1"/>
        <v>0.6</v>
      </c>
      <c r="F63" s="29">
        <v>4</v>
      </c>
      <c r="G63" s="30"/>
      <c r="H63" s="31"/>
      <c r="I63" s="31" t="s">
        <v>87</v>
      </c>
    </row>
    <row r="64" ht="16.5" customHeight="1" spans="1:9">
      <c r="A64" s="33" t="s">
        <v>86</v>
      </c>
      <c r="B64" s="32" t="s">
        <v>68</v>
      </c>
      <c r="C64" s="33" t="s">
        <v>74</v>
      </c>
      <c r="D64" s="33" t="s">
        <v>71</v>
      </c>
      <c r="E64" s="34">
        <f t="shared" si="1"/>
        <v>0.9</v>
      </c>
      <c r="F64" s="29">
        <v>6</v>
      </c>
      <c r="G64" s="30"/>
      <c r="H64" s="35"/>
      <c r="I64" s="35" t="s">
        <v>87</v>
      </c>
    </row>
    <row r="65" ht="16.5" customHeight="1" spans="1:9">
      <c r="A65" s="33" t="s">
        <v>86</v>
      </c>
      <c r="B65" s="32" t="s">
        <v>68</v>
      </c>
      <c r="C65" s="33" t="s">
        <v>74</v>
      </c>
      <c r="D65" s="33" t="s">
        <v>72</v>
      </c>
      <c r="E65" s="34">
        <f t="shared" si="1"/>
        <v>1.95</v>
      </c>
      <c r="F65" s="29">
        <v>13</v>
      </c>
      <c r="G65" s="30"/>
      <c r="H65" s="35"/>
      <c r="I65" s="35" t="s">
        <v>87</v>
      </c>
    </row>
    <row r="66" ht="16.5" customHeight="1" spans="1:9">
      <c r="A66" s="33" t="s">
        <v>86</v>
      </c>
      <c r="B66" s="32" t="s">
        <v>68</v>
      </c>
      <c r="C66" s="33" t="s">
        <v>74</v>
      </c>
      <c r="D66" s="33" t="s">
        <v>75</v>
      </c>
      <c r="E66" s="34">
        <f t="shared" si="1"/>
        <v>2.1</v>
      </c>
      <c r="F66" s="29">
        <v>14</v>
      </c>
      <c r="G66" s="30"/>
      <c r="H66" s="35"/>
      <c r="I66" s="35" t="s">
        <v>87</v>
      </c>
    </row>
    <row r="67" ht="16.5" customHeight="1" spans="1:9">
      <c r="A67" s="33" t="s">
        <v>86</v>
      </c>
      <c r="B67" s="32" t="s">
        <v>68</v>
      </c>
      <c r="C67" s="33" t="s">
        <v>74</v>
      </c>
      <c r="D67" s="33" t="s">
        <v>90</v>
      </c>
      <c r="E67" s="34" t="str">
        <f t="shared" si="1"/>
        <v/>
      </c>
      <c r="F67" s="29"/>
      <c r="G67" s="30"/>
      <c r="H67" s="35"/>
      <c r="I67" s="35"/>
    </row>
    <row r="68" ht="16.5" customHeight="1" spans="1:9">
      <c r="A68" s="33" t="s">
        <v>86</v>
      </c>
      <c r="B68" s="32" t="s">
        <v>68</v>
      </c>
      <c r="C68" s="33" t="s">
        <v>74</v>
      </c>
      <c r="D68" s="33" t="s">
        <v>91</v>
      </c>
      <c r="E68" s="34" t="str">
        <f t="shared" si="1"/>
        <v/>
      </c>
      <c r="F68" s="29"/>
      <c r="G68" s="30"/>
      <c r="H68" s="35"/>
      <c r="I68" s="35"/>
    </row>
    <row r="69" ht="16.5" customHeight="1" spans="1:9">
      <c r="A69" s="27" t="s">
        <v>86</v>
      </c>
      <c r="B69" s="26" t="s">
        <v>68</v>
      </c>
      <c r="C69" s="27" t="s">
        <v>76</v>
      </c>
      <c r="D69" s="27" t="s">
        <v>75</v>
      </c>
      <c r="E69" s="28">
        <f t="shared" si="1"/>
        <v>2.55</v>
      </c>
      <c r="F69" s="29">
        <v>17</v>
      </c>
      <c r="G69" s="30"/>
      <c r="H69" s="31"/>
      <c r="I69" s="31" t="s">
        <v>87</v>
      </c>
    </row>
    <row r="70" ht="16.5" customHeight="1" spans="1:9">
      <c r="A70" s="27" t="s">
        <v>86</v>
      </c>
      <c r="B70" s="26" t="s">
        <v>68</v>
      </c>
      <c r="C70" s="27" t="s">
        <v>76</v>
      </c>
      <c r="D70" s="27" t="s">
        <v>77</v>
      </c>
      <c r="E70" s="28">
        <f t="shared" si="1"/>
        <v>3</v>
      </c>
      <c r="F70" s="29">
        <v>20</v>
      </c>
      <c r="G70" s="30"/>
      <c r="H70" s="31"/>
      <c r="I70" s="31" t="s">
        <v>87</v>
      </c>
    </row>
    <row r="71" ht="16.5" customHeight="1" spans="1:9">
      <c r="A71" s="27" t="s">
        <v>86</v>
      </c>
      <c r="B71" s="26" t="s">
        <v>68</v>
      </c>
      <c r="C71" s="27" t="s">
        <v>76</v>
      </c>
      <c r="D71" s="27" t="s">
        <v>90</v>
      </c>
      <c r="E71" s="28" t="str">
        <f t="shared" si="1"/>
        <v/>
      </c>
      <c r="F71" s="29"/>
      <c r="G71" s="30"/>
      <c r="H71" s="31"/>
      <c r="I71" s="31"/>
    </row>
    <row r="72" ht="16.5" customHeight="1" spans="1:9">
      <c r="A72" s="33" t="s">
        <v>86</v>
      </c>
      <c r="B72" s="32" t="s">
        <v>78</v>
      </c>
      <c r="C72" s="33" t="s">
        <v>79</v>
      </c>
      <c r="D72" s="33" t="s">
        <v>80</v>
      </c>
      <c r="E72" s="34" t="str">
        <f t="shared" si="1"/>
        <v/>
      </c>
      <c r="F72" s="29"/>
      <c r="G72" s="30"/>
      <c r="H72" s="35"/>
      <c r="I72" s="35"/>
    </row>
    <row r="73" ht="16.5" customHeight="1" spans="1:9">
      <c r="A73" s="33" t="s">
        <v>86</v>
      </c>
      <c r="B73" s="32" t="s">
        <v>78</v>
      </c>
      <c r="C73" s="33" t="s">
        <v>79</v>
      </c>
      <c r="D73" s="33" t="s">
        <v>70</v>
      </c>
      <c r="E73" s="34" t="str">
        <f t="shared" si="1"/>
        <v/>
      </c>
      <c r="F73" s="29"/>
      <c r="G73" s="30"/>
      <c r="H73" s="35"/>
      <c r="I73" s="35"/>
    </row>
    <row r="74" ht="16.5" customHeight="1" spans="1:9">
      <c r="A74" s="27" t="s">
        <v>86</v>
      </c>
      <c r="B74" s="26" t="s">
        <v>78</v>
      </c>
      <c r="C74" s="27" t="s">
        <v>82</v>
      </c>
      <c r="D74" s="27" t="s">
        <v>71</v>
      </c>
      <c r="E74" s="28" t="str">
        <f t="shared" si="1"/>
        <v/>
      </c>
      <c r="F74" s="29"/>
      <c r="G74" s="30"/>
      <c r="H74" s="31"/>
      <c r="I74" s="31"/>
    </row>
    <row r="75" ht="16.5" customHeight="1" spans="1:9">
      <c r="A75" s="27" t="s">
        <v>86</v>
      </c>
      <c r="B75" s="26" t="s">
        <v>78</v>
      </c>
      <c r="C75" s="27" t="s">
        <v>82</v>
      </c>
      <c r="D75" s="27" t="s">
        <v>72</v>
      </c>
      <c r="E75" s="28" t="str">
        <f t="shared" si="1"/>
        <v/>
      </c>
      <c r="F75" s="29"/>
      <c r="G75" s="30"/>
      <c r="H75" s="31"/>
      <c r="I75" s="31"/>
    </row>
    <row r="76" ht="16.5" customHeight="1" spans="1:9">
      <c r="A76" s="33" t="s">
        <v>86</v>
      </c>
      <c r="B76" s="32" t="s">
        <v>78</v>
      </c>
      <c r="C76" s="33" t="s">
        <v>83</v>
      </c>
      <c r="D76" s="33" t="s">
        <v>72</v>
      </c>
      <c r="E76" s="34" t="str">
        <f t="shared" si="1"/>
        <v/>
      </c>
      <c r="F76" s="29"/>
      <c r="G76" s="30"/>
      <c r="H76" s="35"/>
      <c r="I76" s="35"/>
    </row>
    <row r="77" ht="16.5" customHeight="1" spans="1:9">
      <c r="A77" s="33" t="s">
        <v>86</v>
      </c>
      <c r="B77" s="32" t="s">
        <v>78</v>
      </c>
      <c r="C77" s="33" t="s">
        <v>83</v>
      </c>
      <c r="D77" s="33" t="s">
        <v>75</v>
      </c>
      <c r="E77" s="34" t="str">
        <f t="shared" si="1"/>
        <v/>
      </c>
      <c r="F77" s="29"/>
      <c r="G77" s="30"/>
      <c r="H77" s="35"/>
      <c r="I77" s="35"/>
    </row>
  </sheetData>
  <autoFilter xmlns:etc="http://www.wps.cn/officeDocument/2017/etCustomData" ref="A3:I77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6"/>
  <sheetViews>
    <sheetView workbookViewId="0">
      <pane ySplit="3" topLeftCell="A47" activePane="bottomLeft" state="frozen"/>
      <selection/>
      <selection pane="bottomLeft" activeCell="F35" sqref="F35"/>
    </sheetView>
  </sheetViews>
  <sheetFormatPr defaultColWidth="8.71875" defaultRowHeight="16.8"/>
  <cols>
    <col min="1" max="1" width="18" style="1" customWidth="1"/>
    <col min="2" max="2" width="8" style="1" customWidth="1"/>
    <col min="3" max="3" width="10" style="1" customWidth="1"/>
    <col min="4" max="4" width="12" style="1" customWidth="1"/>
    <col min="5" max="5" width="14" style="1" customWidth="1"/>
    <col min="6" max="6" width="16" style="1" customWidth="1"/>
    <col min="7" max="7" width="13" style="1" customWidth="1"/>
    <col min="8" max="8" width="18" style="1" customWidth="1"/>
    <col min="9" max="9" width="22" style="1" customWidth="1"/>
  </cols>
  <sheetData>
    <row r="1" ht="21" customHeight="1" spans="1:9">
      <c r="A1" s="21" t="s">
        <v>92</v>
      </c>
    </row>
    <row r="2" ht="16.5" customHeight="1" spans="1:9">
      <c r="A2" s="11" t="s">
        <v>1</v>
      </c>
      <c r="B2" s="22">
        <v>0.15</v>
      </c>
      <c r="C2" s="23" t="s">
        <v>2</v>
      </c>
    </row>
    <row r="3" ht="27.75" customHeight="1" spans="1:9">
      <c r="A3" s="24" t="s">
        <v>3</v>
      </c>
      <c r="B3" s="24" t="s">
        <v>4</v>
      </c>
      <c r="C3" s="24" t="s">
        <v>5</v>
      </c>
      <c r="D3" s="24" t="s">
        <v>6</v>
      </c>
      <c r="E3" s="24" t="s">
        <v>7</v>
      </c>
      <c r="F3" s="24" t="s">
        <v>8</v>
      </c>
      <c r="G3" s="24" t="s">
        <v>9</v>
      </c>
      <c r="H3" s="24" t="s">
        <v>10</v>
      </c>
      <c r="I3" s="24" t="s">
        <v>11</v>
      </c>
    </row>
    <row r="4" ht="16.5" customHeight="1" spans="1:9">
      <c r="A4" s="31" t="s">
        <v>93</v>
      </c>
      <c r="B4" s="26" t="s">
        <v>13</v>
      </c>
      <c r="C4" s="27" t="s">
        <v>14</v>
      </c>
      <c r="D4" s="27" t="s">
        <v>15</v>
      </c>
      <c r="E4" s="28">
        <f t="shared" ref="E4:E66" si="0">IF($F4="","",$F4*$B$2)</f>
        <v>0.75</v>
      </c>
      <c r="F4" s="29">
        <v>5</v>
      </c>
      <c r="G4" s="30"/>
      <c r="H4" s="31"/>
      <c r="I4" s="31"/>
    </row>
    <row r="5" ht="16.5" customHeight="1" spans="1:9">
      <c r="A5" s="31" t="s">
        <v>93</v>
      </c>
      <c r="B5" s="26" t="s">
        <v>13</v>
      </c>
      <c r="C5" s="27" t="s">
        <v>14</v>
      </c>
      <c r="D5" s="27" t="s">
        <v>17</v>
      </c>
      <c r="E5" s="28">
        <f t="shared" si="0"/>
        <v>1.5</v>
      </c>
      <c r="F5" s="29">
        <v>10</v>
      </c>
      <c r="G5" s="30"/>
      <c r="H5" s="31"/>
      <c r="I5" s="31"/>
    </row>
    <row r="6" ht="16.5" customHeight="1" spans="1:9">
      <c r="A6" s="31" t="s">
        <v>93</v>
      </c>
      <c r="B6" s="26" t="s">
        <v>13</v>
      </c>
      <c r="C6" s="27" t="s">
        <v>14</v>
      </c>
      <c r="D6" s="27" t="s">
        <v>19</v>
      </c>
      <c r="E6" s="28">
        <f t="shared" si="0"/>
        <v>2.25</v>
      </c>
      <c r="F6" s="29">
        <v>15</v>
      </c>
      <c r="G6" s="30"/>
      <c r="H6" s="31"/>
      <c r="I6" s="31"/>
    </row>
    <row r="7" ht="16.5" customHeight="1" spans="1:9">
      <c r="A7" s="31" t="s">
        <v>93</v>
      </c>
      <c r="B7" s="26" t="s">
        <v>13</v>
      </c>
      <c r="C7" s="27" t="s">
        <v>14</v>
      </c>
      <c r="D7" s="27" t="s">
        <v>20</v>
      </c>
      <c r="E7" s="28">
        <f t="shared" si="0"/>
        <v>3</v>
      </c>
      <c r="F7" s="29">
        <v>20</v>
      </c>
      <c r="G7" s="30"/>
      <c r="H7" s="31"/>
      <c r="I7" s="31"/>
    </row>
    <row r="8" ht="16.5" customHeight="1" spans="1:9">
      <c r="A8" s="31" t="s">
        <v>93</v>
      </c>
      <c r="B8" s="26" t="s">
        <v>13</v>
      </c>
      <c r="C8" s="27" t="s">
        <v>14</v>
      </c>
      <c r="D8" s="27" t="s">
        <v>21</v>
      </c>
      <c r="E8" s="28">
        <f t="shared" si="0"/>
        <v>4.5</v>
      </c>
      <c r="F8" s="29">
        <v>30</v>
      </c>
      <c r="G8" s="30"/>
      <c r="H8" s="31"/>
      <c r="I8" s="31"/>
    </row>
    <row r="9" ht="16.5" customHeight="1" spans="1:9">
      <c r="A9" s="31" t="s">
        <v>93</v>
      </c>
      <c r="B9" s="26" t="s">
        <v>13</v>
      </c>
      <c r="C9" s="27" t="s">
        <v>14</v>
      </c>
      <c r="D9" s="27" t="s">
        <v>22</v>
      </c>
      <c r="E9" s="28">
        <f t="shared" si="0"/>
        <v>5.25</v>
      </c>
      <c r="F9" s="29">
        <v>35</v>
      </c>
      <c r="G9" s="30"/>
      <c r="H9" s="31"/>
      <c r="I9" s="31"/>
    </row>
    <row r="10" ht="16.5" customHeight="1" spans="1:9">
      <c r="A10" s="31" t="s">
        <v>93</v>
      </c>
      <c r="B10" s="26" t="s">
        <v>13</v>
      </c>
      <c r="C10" s="27" t="s">
        <v>14</v>
      </c>
      <c r="D10" s="27" t="s">
        <v>23</v>
      </c>
      <c r="E10" s="28">
        <f t="shared" si="0"/>
        <v>6</v>
      </c>
      <c r="F10" s="29">
        <v>40</v>
      </c>
      <c r="G10" s="30"/>
      <c r="H10" s="31"/>
      <c r="I10" s="31"/>
    </row>
    <row r="11" ht="16.5" customHeight="1" spans="1:9">
      <c r="A11" s="35" t="s">
        <v>93</v>
      </c>
      <c r="B11" s="32" t="s">
        <v>24</v>
      </c>
      <c r="C11" s="33" t="s">
        <v>14</v>
      </c>
      <c r="D11" s="33" t="s">
        <v>20</v>
      </c>
      <c r="E11" s="34">
        <f t="shared" si="0"/>
        <v>3</v>
      </c>
      <c r="F11" s="29">
        <v>20</v>
      </c>
      <c r="G11" s="30"/>
      <c r="H11" s="35"/>
      <c r="I11" s="35"/>
    </row>
    <row r="12" ht="16.5" customHeight="1" spans="1:9">
      <c r="A12" s="35" t="s">
        <v>93</v>
      </c>
      <c r="B12" s="32" t="s">
        <v>24</v>
      </c>
      <c r="C12" s="33" t="s">
        <v>14</v>
      </c>
      <c r="D12" s="33" t="s">
        <v>21</v>
      </c>
      <c r="E12" s="34">
        <f t="shared" si="0"/>
        <v>4.2</v>
      </c>
      <c r="F12" s="29">
        <v>28</v>
      </c>
      <c r="G12" s="30"/>
      <c r="H12" s="35"/>
      <c r="I12" s="35"/>
    </row>
    <row r="13" ht="16.5" customHeight="1" spans="1:9">
      <c r="A13" s="35" t="s">
        <v>93</v>
      </c>
      <c r="B13" s="32" t="s">
        <v>24</v>
      </c>
      <c r="C13" s="33" t="s">
        <v>14</v>
      </c>
      <c r="D13" s="33" t="s">
        <v>22</v>
      </c>
      <c r="E13" s="34">
        <f t="shared" si="0"/>
        <v>5.25</v>
      </c>
      <c r="F13" s="29">
        <v>35</v>
      </c>
      <c r="G13" s="30"/>
      <c r="H13" s="35"/>
      <c r="I13" s="35"/>
    </row>
    <row r="14" ht="16.5" customHeight="1" spans="1:9">
      <c r="A14" s="35" t="s">
        <v>93</v>
      </c>
      <c r="B14" s="32" t="s">
        <v>24</v>
      </c>
      <c r="C14" s="33" t="s">
        <v>14</v>
      </c>
      <c r="D14" s="33" t="s">
        <v>23</v>
      </c>
      <c r="E14" s="34">
        <f t="shared" si="0"/>
        <v>6</v>
      </c>
      <c r="F14" s="29">
        <v>40</v>
      </c>
      <c r="G14" s="30"/>
      <c r="H14" s="35"/>
      <c r="I14" s="35"/>
    </row>
    <row r="15" ht="16.5" customHeight="1" spans="1:9">
      <c r="A15" s="35" t="s">
        <v>93</v>
      </c>
      <c r="B15" s="32" t="s">
        <v>24</v>
      </c>
      <c r="C15" s="33" t="s">
        <v>14</v>
      </c>
      <c r="D15" s="33" t="s">
        <v>25</v>
      </c>
      <c r="E15" s="34">
        <f t="shared" si="0"/>
        <v>7.5</v>
      </c>
      <c r="F15" s="29">
        <v>50</v>
      </c>
      <c r="G15" s="30"/>
      <c r="H15" s="35"/>
      <c r="I15" s="35"/>
    </row>
    <row r="16" ht="16.5" customHeight="1" spans="1:9">
      <c r="A16" s="31" t="s">
        <v>93</v>
      </c>
      <c r="B16" s="26" t="s">
        <v>27</v>
      </c>
      <c r="C16" s="27" t="s">
        <v>28</v>
      </c>
      <c r="D16" s="27" t="s">
        <v>29</v>
      </c>
      <c r="E16" s="28">
        <f t="shared" si="0"/>
        <v>1.5</v>
      </c>
      <c r="F16" s="29">
        <v>10</v>
      </c>
      <c r="G16" s="30"/>
      <c r="H16" s="31"/>
      <c r="I16" s="31"/>
    </row>
    <row r="17" ht="16.5" customHeight="1" spans="1:9">
      <c r="A17" s="31" t="s">
        <v>93</v>
      </c>
      <c r="B17" s="26" t="s">
        <v>27</v>
      </c>
      <c r="C17" s="27" t="s">
        <v>28</v>
      </c>
      <c r="D17" s="27" t="s">
        <v>30</v>
      </c>
      <c r="E17" s="28">
        <f t="shared" si="0"/>
        <v>2.1</v>
      </c>
      <c r="F17" s="29">
        <v>14</v>
      </c>
      <c r="G17" s="30"/>
      <c r="H17" s="31"/>
      <c r="I17" s="31"/>
    </row>
    <row r="18" ht="16.5" customHeight="1" spans="1:9">
      <c r="A18" s="31" t="s">
        <v>93</v>
      </c>
      <c r="B18" s="26" t="s">
        <v>27</v>
      </c>
      <c r="C18" s="27" t="s">
        <v>28</v>
      </c>
      <c r="D18" s="27" t="s">
        <v>33</v>
      </c>
      <c r="E18" s="28">
        <f t="shared" si="0"/>
        <v>2.1</v>
      </c>
      <c r="F18" s="29">
        <v>14</v>
      </c>
      <c r="G18" s="30"/>
      <c r="H18" s="31"/>
      <c r="I18" s="31"/>
    </row>
    <row r="19" ht="16.5" customHeight="1" spans="1:9">
      <c r="A19" s="35" t="s">
        <v>93</v>
      </c>
      <c r="B19" s="32" t="s">
        <v>27</v>
      </c>
      <c r="C19" s="33" t="s">
        <v>42</v>
      </c>
      <c r="D19" s="33" t="s">
        <v>33</v>
      </c>
      <c r="E19" s="34">
        <f t="shared" si="0"/>
        <v>2.1</v>
      </c>
      <c r="F19" s="29">
        <v>14</v>
      </c>
      <c r="G19" s="30"/>
      <c r="H19" s="35"/>
      <c r="I19" s="35"/>
    </row>
    <row r="20" ht="16.5" customHeight="1" spans="1:9">
      <c r="A20" s="35" t="s">
        <v>93</v>
      </c>
      <c r="B20" s="32" t="s">
        <v>27</v>
      </c>
      <c r="C20" s="33" t="s">
        <v>42</v>
      </c>
      <c r="D20" s="33" t="s">
        <v>37</v>
      </c>
      <c r="E20" s="34">
        <f t="shared" si="0"/>
        <v>5.25</v>
      </c>
      <c r="F20" s="29">
        <v>35</v>
      </c>
      <c r="G20" s="30"/>
      <c r="H20" s="35"/>
      <c r="I20" s="35"/>
    </row>
    <row r="21" ht="16.5" customHeight="1" spans="1:9">
      <c r="A21" s="35" t="s">
        <v>93</v>
      </c>
      <c r="B21" s="32" t="s">
        <v>27</v>
      </c>
      <c r="C21" s="33" t="s">
        <v>42</v>
      </c>
      <c r="D21" s="33" t="s">
        <v>41</v>
      </c>
      <c r="E21" s="34">
        <f t="shared" si="0"/>
        <v>12</v>
      </c>
      <c r="F21" s="29">
        <v>80</v>
      </c>
      <c r="G21" s="30"/>
      <c r="H21" s="35"/>
      <c r="I21" s="35"/>
    </row>
    <row r="22" ht="16.5" customHeight="1" spans="1:9">
      <c r="A22" s="35" t="s">
        <v>93</v>
      </c>
      <c r="B22" s="32" t="s">
        <v>27</v>
      </c>
      <c r="C22" s="33" t="s">
        <v>42</v>
      </c>
      <c r="D22" s="33" t="s">
        <v>45</v>
      </c>
      <c r="E22" s="34">
        <f t="shared" si="0"/>
        <v>13.5</v>
      </c>
      <c r="F22" s="29">
        <v>90</v>
      </c>
      <c r="G22" s="30"/>
      <c r="H22" s="35"/>
      <c r="I22" s="35"/>
    </row>
    <row r="23" ht="16.5" customHeight="1" spans="1:9">
      <c r="A23" s="31" t="s">
        <v>93</v>
      </c>
      <c r="B23" s="26" t="s">
        <v>50</v>
      </c>
      <c r="C23" s="27" t="s">
        <v>42</v>
      </c>
      <c r="D23" s="27" t="s">
        <v>41</v>
      </c>
      <c r="E23" s="28">
        <f t="shared" si="0"/>
        <v>12</v>
      </c>
      <c r="F23" s="29">
        <v>80</v>
      </c>
      <c r="G23" s="30"/>
      <c r="H23" s="31"/>
      <c r="I23" s="31"/>
    </row>
    <row r="24" ht="16.5" customHeight="1" spans="1:9">
      <c r="A24" s="31" t="s">
        <v>93</v>
      </c>
      <c r="B24" s="26" t="s">
        <v>50</v>
      </c>
      <c r="C24" s="27" t="s">
        <v>42</v>
      </c>
      <c r="D24" s="27" t="s">
        <v>45</v>
      </c>
      <c r="E24" s="28">
        <f t="shared" si="0"/>
        <v>13.5</v>
      </c>
      <c r="F24" s="29">
        <v>90</v>
      </c>
      <c r="G24" s="30"/>
      <c r="H24" s="31"/>
      <c r="I24" s="31"/>
    </row>
    <row r="25" ht="16.5" customHeight="1" spans="1:9">
      <c r="A25" s="31" t="s">
        <v>93</v>
      </c>
      <c r="B25" s="26" t="s">
        <v>50</v>
      </c>
      <c r="C25" s="27" t="s">
        <v>42</v>
      </c>
      <c r="D25" s="27" t="s">
        <v>48</v>
      </c>
      <c r="E25" s="28">
        <f t="shared" si="0"/>
        <v>13.5</v>
      </c>
      <c r="F25" s="29">
        <v>90</v>
      </c>
      <c r="G25" s="30"/>
      <c r="H25" s="31"/>
      <c r="I25" s="31"/>
    </row>
    <row r="26" ht="16.5" customHeight="1" spans="1:9">
      <c r="A26" s="35" t="s">
        <v>93</v>
      </c>
      <c r="B26" s="32" t="s">
        <v>50</v>
      </c>
      <c r="C26" s="33" t="s">
        <v>51</v>
      </c>
      <c r="D26" s="33" t="s">
        <v>48</v>
      </c>
      <c r="E26" s="34">
        <f t="shared" si="0"/>
        <v>13.5</v>
      </c>
      <c r="F26" s="29">
        <v>90</v>
      </c>
      <c r="G26" s="30"/>
      <c r="H26" s="35"/>
      <c r="I26" s="35"/>
    </row>
    <row r="27" ht="16.5" customHeight="1" spans="1:9">
      <c r="A27" s="35" t="s">
        <v>93</v>
      </c>
      <c r="B27" s="32" t="s">
        <v>50</v>
      </c>
      <c r="C27" s="33" t="s">
        <v>51</v>
      </c>
      <c r="D27" s="33" t="s">
        <v>49</v>
      </c>
      <c r="E27" s="34">
        <f t="shared" si="0"/>
        <v>13.5</v>
      </c>
      <c r="F27" s="29">
        <v>90</v>
      </c>
      <c r="G27" s="30"/>
      <c r="H27" s="35"/>
      <c r="I27" s="35"/>
    </row>
    <row r="28" ht="16.5" customHeight="1" spans="1:9">
      <c r="A28" s="35" t="s">
        <v>93</v>
      </c>
      <c r="B28" s="32" t="s">
        <v>50</v>
      </c>
      <c r="C28" s="33" t="s">
        <v>51</v>
      </c>
      <c r="D28" s="33" t="s">
        <v>52</v>
      </c>
      <c r="E28" s="34">
        <f t="shared" si="0"/>
        <v>17.25</v>
      </c>
      <c r="F28" s="29">
        <v>115</v>
      </c>
      <c r="G28" s="30"/>
      <c r="H28" s="35"/>
      <c r="I28" s="35"/>
    </row>
    <row r="29" ht="16.5" customHeight="1" spans="1:9">
      <c r="A29" s="35" t="s">
        <v>93</v>
      </c>
      <c r="B29" s="32" t="s">
        <v>50</v>
      </c>
      <c r="C29" s="33" t="s">
        <v>51</v>
      </c>
      <c r="D29" s="33" t="s">
        <v>58</v>
      </c>
      <c r="E29" s="34">
        <f t="shared" si="0"/>
        <v>17.25</v>
      </c>
      <c r="F29" s="29">
        <v>115</v>
      </c>
      <c r="G29" s="30"/>
      <c r="H29" s="35"/>
      <c r="I29" s="35"/>
    </row>
    <row r="30" ht="16.5" customHeight="1" spans="1:9">
      <c r="A30" s="31" t="s">
        <v>93</v>
      </c>
      <c r="B30" s="26" t="s">
        <v>62</v>
      </c>
      <c r="C30" s="27" t="s">
        <v>42</v>
      </c>
      <c r="D30" s="27" t="s">
        <v>64</v>
      </c>
      <c r="E30" s="28">
        <f t="shared" si="0"/>
        <v>1.95</v>
      </c>
      <c r="F30" s="29">
        <v>13</v>
      </c>
      <c r="G30" s="30"/>
      <c r="H30" s="31"/>
      <c r="I30" s="31"/>
    </row>
    <row r="31" ht="16.5" customHeight="1" spans="1:9">
      <c r="A31" s="31" t="s">
        <v>93</v>
      </c>
      <c r="B31" s="26" t="s">
        <v>62</v>
      </c>
      <c r="C31" s="27" t="s">
        <v>42</v>
      </c>
      <c r="D31" s="27" t="s">
        <v>65</v>
      </c>
      <c r="E31" s="28">
        <f t="shared" si="0"/>
        <v>2.7</v>
      </c>
      <c r="F31" s="29">
        <v>18</v>
      </c>
      <c r="G31" s="30"/>
      <c r="H31" s="31"/>
      <c r="I31" s="31"/>
    </row>
    <row r="32" ht="16.5" customHeight="1" spans="1:9">
      <c r="A32" s="31" t="s">
        <v>93</v>
      </c>
      <c r="B32" s="26" t="s">
        <v>62</v>
      </c>
      <c r="C32" s="27" t="s">
        <v>42</v>
      </c>
      <c r="D32" s="27" t="s">
        <v>15</v>
      </c>
      <c r="E32" s="28">
        <f t="shared" si="0"/>
        <v>3</v>
      </c>
      <c r="F32" s="29">
        <v>20</v>
      </c>
      <c r="G32" s="30"/>
      <c r="H32" s="31"/>
      <c r="I32" s="31"/>
    </row>
    <row r="33" ht="16.5" customHeight="1" spans="1:9">
      <c r="A33" s="31" t="s">
        <v>93</v>
      </c>
      <c r="B33" s="26" t="s">
        <v>62</v>
      </c>
      <c r="C33" s="27" t="s">
        <v>42</v>
      </c>
      <c r="D33" s="27" t="s">
        <v>66</v>
      </c>
      <c r="E33" s="28">
        <f t="shared" si="0"/>
        <v>3.75</v>
      </c>
      <c r="F33" s="29">
        <v>25</v>
      </c>
      <c r="G33" s="30"/>
      <c r="H33" s="31"/>
      <c r="I33" s="31"/>
    </row>
    <row r="34" ht="16.5" customHeight="1" spans="1:9">
      <c r="A34" s="31" t="s">
        <v>93</v>
      </c>
      <c r="B34" s="26" t="s">
        <v>62</v>
      </c>
      <c r="C34" s="27" t="s">
        <v>42</v>
      </c>
      <c r="D34" s="27" t="s">
        <v>17</v>
      </c>
      <c r="E34" s="28">
        <f t="shared" si="0"/>
        <v>5.25</v>
      </c>
      <c r="F34" s="29">
        <v>35</v>
      </c>
      <c r="G34" s="30"/>
      <c r="H34" s="31"/>
      <c r="I34" s="31"/>
    </row>
    <row r="35" ht="16.5" customHeight="1" spans="1:9">
      <c r="A35" s="35" t="s">
        <v>93</v>
      </c>
      <c r="B35" s="32" t="s">
        <v>62</v>
      </c>
      <c r="C35" s="33" t="s">
        <v>44</v>
      </c>
      <c r="D35" s="33" t="s">
        <v>64</v>
      </c>
      <c r="E35" s="34">
        <f t="shared" si="0"/>
        <v>1.95</v>
      </c>
      <c r="F35" s="29">
        <v>13</v>
      </c>
      <c r="G35" s="30"/>
      <c r="H35" s="35"/>
      <c r="I35" s="35"/>
    </row>
    <row r="36" ht="16.5" customHeight="1" spans="1:9">
      <c r="A36" s="35" t="s">
        <v>93</v>
      </c>
      <c r="B36" s="32" t="s">
        <v>62</v>
      </c>
      <c r="C36" s="33" t="s">
        <v>44</v>
      </c>
      <c r="D36" s="33" t="s">
        <v>65</v>
      </c>
      <c r="E36" s="34">
        <f t="shared" si="0"/>
        <v>2.7</v>
      </c>
      <c r="F36" s="29">
        <v>18</v>
      </c>
      <c r="G36" s="30"/>
      <c r="H36" s="35"/>
      <c r="I36" s="35"/>
    </row>
    <row r="37" ht="16.5" customHeight="1" spans="1:9">
      <c r="A37" s="35" t="s">
        <v>93</v>
      </c>
      <c r="B37" s="32" t="s">
        <v>62</v>
      </c>
      <c r="C37" s="33" t="s">
        <v>44</v>
      </c>
      <c r="D37" s="33" t="s">
        <v>15</v>
      </c>
      <c r="E37" s="34">
        <f t="shared" si="0"/>
        <v>3</v>
      </c>
      <c r="F37" s="29">
        <v>20</v>
      </c>
      <c r="G37" s="30"/>
      <c r="H37" s="35"/>
      <c r="I37" s="35"/>
    </row>
    <row r="38" ht="16.5" customHeight="1" spans="1:9">
      <c r="A38" s="35" t="s">
        <v>93</v>
      </c>
      <c r="B38" s="32" t="s">
        <v>62</v>
      </c>
      <c r="C38" s="33" t="s">
        <v>44</v>
      </c>
      <c r="D38" s="33" t="s">
        <v>66</v>
      </c>
      <c r="E38" s="34">
        <f t="shared" si="0"/>
        <v>3.75</v>
      </c>
      <c r="F38" s="29">
        <v>25</v>
      </c>
      <c r="G38" s="30"/>
      <c r="H38" s="35"/>
      <c r="I38" s="35"/>
    </row>
    <row r="39" ht="16.5" customHeight="1" spans="1:9">
      <c r="A39" s="35" t="s">
        <v>93</v>
      </c>
      <c r="B39" s="32" t="s">
        <v>62</v>
      </c>
      <c r="C39" s="33" t="s">
        <v>44</v>
      </c>
      <c r="D39" s="33" t="s">
        <v>17</v>
      </c>
      <c r="E39" s="34">
        <f t="shared" si="0"/>
        <v>5.25</v>
      </c>
      <c r="F39" s="29">
        <v>35</v>
      </c>
      <c r="G39" s="30"/>
      <c r="H39" s="35"/>
      <c r="I39" s="35"/>
    </row>
    <row r="40" ht="16.5" customHeight="1" spans="1:9">
      <c r="A40" s="31" t="s">
        <v>93</v>
      </c>
      <c r="B40" s="26" t="s">
        <v>62</v>
      </c>
      <c r="C40" s="27" t="s">
        <v>51</v>
      </c>
      <c r="D40" s="27" t="s">
        <v>15</v>
      </c>
      <c r="E40" s="28">
        <f t="shared" si="0"/>
        <v>10.5</v>
      </c>
      <c r="F40" s="29">
        <v>70</v>
      </c>
      <c r="G40" s="30"/>
      <c r="H40" s="31"/>
      <c r="I40" s="31"/>
    </row>
    <row r="41" ht="16.5" customHeight="1" spans="1:9">
      <c r="A41" s="31" t="s">
        <v>93</v>
      </c>
      <c r="B41" s="26" t="s">
        <v>62</v>
      </c>
      <c r="C41" s="27" t="s">
        <v>51</v>
      </c>
      <c r="D41" s="27" t="s">
        <v>66</v>
      </c>
      <c r="E41" s="28">
        <f t="shared" si="0"/>
        <v>12</v>
      </c>
      <c r="F41" s="29">
        <v>80</v>
      </c>
      <c r="G41" s="30"/>
      <c r="H41" s="31"/>
      <c r="I41" s="31"/>
    </row>
    <row r="42" ht="16.5" customHeight="1" spans="1:9">
      <c r="A42" s="31" t="s">
        <v>93</v>
      </c>
      <c r="B42" s="26" t="s">
        <v>62</v>
      </c>
      <c r="C42" s="27" t="s">
        <v>51</v>
      </c>
      <c r="D42" s="27" t="s">
        <v>17</v>
      </c>
      <c r="E42" s="28">
        <f t="shared" si="0"/>
        <v>15</v>
      </c>
      <c r="F42" s="29">
        <v>100</v>
      </c>
      <c r="G42" s="30"/>
      <c r="H42" s="31"/>
      <c r="I42" s="31"/>
    </row>
    <row r="43" ht="16.5" customHeight="1" spans="1:9">
      <c r="A43" s="31" t="s">
        <v>93</v>
      </c>
      <c r="B43" s="26" t="s">
        <v>62</v>
      </c>
      <c r="C43" s="27" t="s">
        <v>51</v>
      </c>
      <c r="D43" s="27" t="s">
        <v>67</v>
      </c>
      <c r="E43" s="28">
        <f t="shared" si="0"/>
        <v>18</v>
      </c>
      <c r="F43" s="29">
        <v>120</v>
      </c>
      <c r="G43" s="30"/>
      <c r="H43" s="31"/>
      <c r="I43" s="31"/>
    </row>
    <row r="44" ht="16.5" customHeight="1" spans="1:9">
      <c r="A44" s="31" t="s">
        <v>93</v>
      </c>
      <c r="B44" s="26" t="s">
        <v>62</v>
      </c>
      <c r="C44" s="27" t="s">
        <v>51</v>
      </c>
      <c r="D44" s="27" t="s">
        <v>19</v>
      </c>
      <c r="E44" s="28">
        <f t="shared" si="0"/>
        <v>22.5</v>
      </c>
      <c r="F44" s="29">
        <v>150</v>
      </c>
      <c r="G44" s="30"/>
      <c r="H44" s="31"/>
      <c r="I44" s="31"/>
    </row>
    <row r="45" ht="16.5" customHeight="1" spans="1:9">
      <c r="A45" s="35" t="s">
        <v>93</v>
      </c>
      <c r="B45" s="32" t="s">
        <v>68</v>
      </c>
      <c r="C45" s="33" t="s">
        <v>69</v>
      </c>
      <c r="D45" s="33" t="s">
        <v>70</v>
      </c>
      <c r="E45" s="34">
        <f t="shared" si="0"/>
        <v>0.45</v>
      </c>
      <c r="F45" s="29">
        <v>3</v>
      </c>
      <c r="G45" s="30"/>
      <c r="H45" s="35"/>
      <c r="I45" s="35"/>
    </row>
    <row r="46" ht="16.5" customHeight="1" spans="1:9">
      <c r="A46" s="35" t="s">
        <v>93</v>
      </c>
      <c r="B46" s="32" t="s">
        <v>68</v>
      </c>
      <c r="C46" s="33" t="s">
        <v>69</v>
      </c>
      <c r="D46" s="33" t="s">
        <v>71</v>
      </c>
      <c r="E46" s="34">
        <f t="shared" si="0"/>
        <v>0.6</v>
      </c>
      <c r="F46" s="29">
        <v>4</v>
      </c>
      <c r="G46" s="30"/>
      <c r="H46" s="35"/>
      <c r="I46" s="35"/>
    </row>
    <row r="47" ht="16.5" customHeight="1" spans="1:9">
      <c r="A47" s="35" t="s">
        <v>93</v>
      </c>
      <c r="B47" s="32" t="s">
        <v>68</v>
      </c>
      <c r="C47" s="33" t="s">
        <v>69</v>
      </c>
      <c r="D47" s="33" t="s">
        <v>72</v>
      </c>
      <c r="E47" s="34">
        <f t="shared" si="0"/>
        <v>0.6</v>
      </c>
      <c r="F47" s="29">
        <v>4</v>
      </c>
      <c r="G47" s="30"/>
      <c r="H47" s="35"/>
      <c r="I47" s="35"/>
    </row>
    <row r="48" ht="16.5" customHeight="1" spans="1:9">
      <c r="A48" s="31" t="s">
        <v>93</v>
      </c>
      <c r="B48" s="26" t="s">
        <v>68</v>
      </c>
      <c r="C48" s="27" t="s">
        <v>73</v>
      </c>
      <c r="D48" s="27" t="s">
        <v>70</v>
      </c>
      <c r="E48" s="28">
        <f t="shared" si="0"/>
        <v>0.45</v>
      </c>
      <c r="F48" s="29">
        <v>3</v>
      </c>
      <c r="G48" s="30"/>
      <c r="H48" s="31"/>
      <c r="I48" s="31"/>
    </row>
    <row r="49" ht="16.5" customHeight="1" spans="1:9">
      <c r="A49" s="31" t="s">
        <v>93</v>
      </c>
      <c r="B49" s="26" t="s">
        <v>68</v>
      </c>
      <c r="C49" s="27" t="s">
        <v>73</v>
      </c>
      <c r="D49" s="27" t="s">
        <v>71</v>
      </c>
      <c r="E49" s="28">
        <f t="shared" si="0"/>
        <v>0.6</v>
      </c>
      <c r="F49" s="29">
        <v>4</v>
      </c>
      <c r="G49" s="30"/>
      <c r="H49" s="31"/>
      <c r="I49" s="31"/>
    </row>
    <row r="50" ht="16.5" customHeight="1" spans="1:9">
      <c r="A50" s="31" t="s">
        <v>93</v>
      </c>
      <c r="B50" s="26" t="s">
        <v>68</v>
      </c>
      <c r="C50" s="27" t="s">
        <v>73</v>
      </c>
      <c r="D50" s="27" t="s">
        <v>72</v>
      </c>
      <c r="E50" s="28">
        <f t="shared" si="0"/>
        <v>0.6</v>
      </c>
      <c r="F50" s="29">
        <v>4</v>
      </c>
      <c r="G50" s="30"/>
      <c r="H50" s="31"/>
      <c r="I50" s="31"/>
    </row>
    <row r="51" ht="16.5" customHeight="1" spans="1:9">
      <c r="A51" s="35" t="s">
        <v>93</v>
      </c>
      <c r="B51" s="32" t="s">
        <v>68</v>
      </c>
      <c r="C51" s="33" t="s">
        <v>74</v>
      </c>
      <c r="D51" s="33" t="s">
        <v>71</v>
      </c>
      <c r="E51" s="34">
        <f t="shared" si="0"/>
        <v>1.05</v>
      </c>
      <c r="F51" s="29">
        <v>7</v>
      </c>
      <c r="G51" s="30"/>
      <c r="H51" s="35"/>
      <c r="I51" s="35"/>
    </row>
    <row r="52" ht="16.5" customHeight="1" spans="1:9">
      <c r="A52" s="35" t="s">
        <v>93</v>
      </c>
      <c r="B52" s="32" t="s">
        <v>68</v>
      </c>
      <c r="C52" s="33" t="s">
        <v>74</v>
      </c>
      <c r="D52" s="33" t="s">
        <v>72</v>
      </c>
      <c r="E52" s="34">
        <f t="shared" si="0"/>
        <v>1.5</v>
      </c>
      <c r="F52" s="29">
        <v>10</v>
      </c>
      <c r="G52" s="30"/>
      <c r="H52" s="35"/>
      <c r="I52" s="35"/>
    </row>
    <row r="53" ht="16.5" customHeight="1" spans="1:9">
      <c r="A53" s="35" t="s">
        <v>93</v>
      </c>
      <c r="B53" s="32" t="s">
        <v>68</v>
      </c>
      <c r="C53" s="33" t="s">
        <v>74</v>
      </c>
      <c r="D53" s="33" t="s">
        <v>75</v>
      </c>
      <c r="E53" s="34">
        <f t="shared" si="0"/>
        <v>2.25</v>
      </c>
      <c r="F53" s="29">
        <v>15</v>
      </c>
      <c r="G53" s="30"/>
      <c r="H53" s="35"/>
      <c r="I53" s="35"/>
    </row>
    <row r="54" ht="16.5" customHeight="1" spans="1:9">
      <c r="A54" s="31" t="s">
        <v>93</v>
      </c>
      <c r="B54" s="26" t="s">
        <v>68</v>
      </c>
      <c r="C54" s="27" t="s">
        <v>76</v>
      </c>
      <c r="D54" s="27" t="s">
        <v>75</v>
      </c>
      <c r="E54" s="28">
        <f t="shared" si="0"/>
        <v>1.95</v>
      </c>
      <c r="F54" s="29">
        <v>13</v>
      </c>
      <c r="G54" s="30"/>
      <c r="H54" s="31"/>
      <c r="I54" s="31"/>
    </row>
    <row r="55" ht="16.5" customHeight="1" spans="1:9">
      <c r="A55" s="31" t="s">
        <v>93</v>
      </c>
      <c r="B55" s="26" t="s">
        <v>68</v>
      </c>
      <c r="C55" s="27" t="s">
        <v>76</v>
      </c>
      <c r="D55" s="27" t="s">
        <v>77</v>
      </c>
      <c r="E55" s="28">
        <f t="shared" si="0"/>
        <v>2.25</v>
      </c>
      <c r="F55" s="29">
        <v>15</v>
      </c>
      <c r="G55" s="30"/>
      <c r="H55" s="31"/>
      <c r="I55" s="31"/>
    </row>
    <row r="56" ht="16.5" customHeight="1" spans="1:9">
      <c r="A56" s="31" t="s">
        <v>93</v>
      </c>
      <c r="B56" s="26" t="s">
        <v>68</v>
      </c>
      <c r="C56" s="27" t="s">
        <v>76</v>
      </c>
      <c r="D56" s="27" t="s">
        <v>90</v>
      </c>
      <c r="E56" s="28">
        <f t="shared" si="0"/>
        <v>3</v>
      </c>
      <c r="F56" s="29">
        <v>20</v>
      </c>
      <c r="G56" s="30"/>
      <c r="H56" s="31"/>
      <c r="I56" s="31"/>
    </row>
    <row r="57" ht="16.5" customHeight="1" spans="1:9">
      <c r="A57" s="35" t="s">
        <v>93</v>
      </c>
      <c r="B57" s="32" t="s">
        <v>78</v>
      </c>
      <c r="C57" s="33" t="s">
        <v>82</v>
      </c>
      <c r="D57" s="33" t="s">
        <v>71</v>
      </c>
      <c r="E57" s="34" t="str">
        <f t="shared" si="0"/>
        <v/>
      </c>
      <c r="F57" s="29"/>
      <c r="G57" s="30"/>
      <c r="H57" s="35"/>
      <c r="I57" s="35"/>
    </row>
    <row r="58" ht="16.5" customHeight="1" spans="1:9">
      <c r="A58" s="35" t="s">
        <v>93</v>
      </c>
      <c r="B58" s="32" t="s">
        <v>78</v>
      </c>
      <c r="C58" s="33" t="s">
        <v>82</v>
      </c>
      <c r="D58" s="33" t="s">
        <v>72</v>
      </c>
      <c r="E58" s="34" t="str">
        <f t="shared" si="0"/>
        <v/>
      </c>
      <c r="F58" s="29"/>
      <c r="G58" s="30"/>
      <c r="H58" s="35"/>
      <c r="I58" s="35"/>
    </row>
    <row r="59" ht="16.5" customHeight="1" spans="1:9">
      <c r="A59" s="31" t="s">
        <v>93</v>
      </c>
      <c r="B59" s="26" t="s">
        <v>78</v>
      </c>
      <c r="C59" s="27" t="s">
        <v>83</v>
      </c>
      <c r="D59" s="27" t="s">
        <v>72</v>
      </c>
      <c r="E59" s="28" t="str">
        <f t="shared" si="0"/>
        <v/>
      </c>
      <c r="F59" s="29"/>
      <c r="G59" s="30"/>
      <c r="H59" s="31"/>
      <c r="I59" s="31"/>
    </row>
    <row r="60" ht="16.5" customHeight="1" spans="1:9">
      <c r="A60" s="31" t="s">
        <v>93</v>
      </c>
      <c r="B60" s="26" t="s">
        <v>78</v>
      </c>
      <c r="C60" s="27" t="s">
        <v>83</v>
      </c>
      <c r="D60" s="27" t="s">
        <v>75</v>
      </c>
      <c r="E60" s="28" t="str">
        <f t="shared" si="0"/>
        <v/>
      </c>
      <c r="F60" s="29"/>
      <c r="G60" s="30"/>
      <c r="H60" s="31"/>
      <c r="I60" s="31"/>
    </row>
    <row r="61" ht="16.5" customHeight="1" spans="1:9">
      <c r="A61" s="35" t="s">
        <v>93</v>
      </c>
      <c r="B61" s="32" t="s">
        <v>78</v>
      </c>
      <c r="C61" s="33" t="s">
        <v>94</v>
      </c>
      <c r="D61" s="33" t="s">
        <v>72</v>
      </c>
      <c r="E61" s="34" t="str">
        <f t="shared" si="0"/>
        <v/>
      </c>
      <c r="F61" s="29"/>
      <c r="G61" s="30"/>
      <c r="H61" s="35"/>
      <c r="I61" s="35"/>
    </row>
    <row r="62" ht="16.5" customHeight="1" spans="1:9">
      <c r="A62" s="35" t="s">
        <v>93</v>
      </c>
      <c r="B62" s="32" t="s">
        <v>78</v>
      </c>
      <c r="C62" s="33" t="s">
        <v>94</v>
      </c>
      <c r="D62" s="33" t="s">
        <v>75</v>
      </c>
      <c r="E62" s="34" t="str">
        <f t="shared" si="0"/>
        <v/>
      </c>
      <c r="F62" s="29"/>
      <c r="G62" s="30"/>
      <c r="H62" s="35"/>
      <c r="I62" s="35"/>
    </row>
    <row r="63" ht="16.5" customHeight="1" spans="1:9">
      <c r="A63" s="31"/>
      <c r="B63" s="26" t="s">
        <v>62</v>
      </c>
      <c r="C63" s="27" t="s">
        <v>28</v>
      </c>
      <c r="D63" s="27" t="s">
        <v>63</v>
      </c>
      <c r="E63" s="28">
        <f t="shared" si="0"/>
        <v>0.75</v>
      </c>
      <c r="F63" s="29">
        <v>5</v>
      </c>
      <c r="G63" s="30"/>
      <c r="H63" s="31"/>
      <c r="I63" s="31" t="s">
        <v>84</v>
      </c>
    </row>
    <row r="64" ht="16.5" customHeight="1" spans="1:9">
      <c r="A64" s="31"/>
      <c r="B64" s="26" t="s">
        <v>62</v>
      </c>
      <c r="C64" s="27" t="s">
        <v>28</v>
      </c>
      <c r="D64" s="27" t="s">
        <v>64</v>
      </c>
      <c r="E64" s="28">
        <f t="shared" si="0"/>
        <v>1.2</v>
      </c>
      <c r="F64" s="29">
        <v>8</v>
      </c>
      <c r="G64" s="30"/>
      <c r="H64" s="31"/>
      <c r="I64" s="31" t="s">
        <v>84</v>
      </c>
    </row>
    <row r="65" ht="16.5" customHeight="1" spans="1:9">
      <c r="A65" s="31"/>
      <c r="B65" s="26" t="s">
        <v>62</v>
      </c>
      <c r="C65" s="27" t="s">
        <v>28</v>
      </c>
      <c r="D65" s="27" t="s">
        <v>65</v>
      </c>
      <c r="E65" s="28">
        <f t="shared" si="0"/>
        <v>1.5</v>
      </c>
      <c r="F65" s="29">
        <v>10</v>
      </c>
      <c r="G65" s="30"/>
      <c r="H65" s="31"/>
      <c r="I65" s="31" t="s">
        <v>84</v>
      </c>
    </row>
    <row r="66" ht="16.5" customHeight="1" spans="1:9">
      <c r="A66" s="31"/>
      <c r="B66" s="26" t="s">
        <v>62</v>
      </c>
      <c r="C66" s="27" t="s">
        <v>28</v>
      </c>
      <c r="D66" s="27" t="s">
        <v>15</v>
      </c>
      <c r="E66" s="28">
        <f t="shared" si="0"/>
        <v>1.8</v>
      </c>
      <c r="F66" s="29">
        <v>12</v>
      </c>
      <c r="G66" s="30"/>
      <c r="H66" s="31"/>
      <c r="I66" s="31" t="s">
        <v>84</v>
      </c>
    </row>
  </sheetData>
  <autoFilter xmlns:etc="http://www.wps.cn/officeDocument/2017/etCustomData" ref="A3:I66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pane ySplit="3" topLeftCell="A4" activePane="bottomLeft" state="frozen"/>
      <selection/>
      <selection pane="bottomLeft" activeCell="F13" sqref="F13"/>
    </sheetView>
  </sheetViews>
  <sheetFormatPr defaultColWidth="8.71875" defaultRowHeight="16.8"/>
  <cols>
    <col min="1" max="1" width="18" style="1" customWidth="1"/>
    <col min="2" max="2" width="8" style="1" customWidth="1"/>
    <col min="3" max="3" width="10" style="1" customWidth="1"/>
    <col min="4" max="4" width="12" style="1" customWidth="1"/>
    <col min="5" max="5" width="14" style="1" customWidth="1"/>
    <col min="6" max="6" width="16" style="1" customWidth="1"/>
    <col min="7" max="7" width="13" style="1" customWidth="1"/>
    <col min="8" max="8" width="18" style="1" customWidth="1"/>
    <col min="9" max="9" width="22" style="1" customWidth="1"/>
  </cols>
  <sheetData>
    <row r="1" ht="21" customHeight="1" spans="1:9">
      <c r="A1" s="21" t="s">
        <v>95</v>
      </c>
    </row>
    <row r="2" ht="16.5" customHeight="1" spans="1:9">
      <c r="A2" s="11" t="s">
        <v>1</v>
      </c>
      <c r="B2" s="22">
        <v>0.15</v>
      </c>
      <c r="C2" s="23" t="s">
        <v>2</v>
      </c>
    </row>
    <row r="3" ht="27.75" customHeight="1" spans="1:9">
      <c r="A3" s="24" t="s">
        <v>3</v>
      </c>
      <c r="B3" s="24" t="s">
        <v>4</v>
      </c>
      <c r="C3" s="24" t="s">
        <v>5</v>
      </c>
      <c r="D3" s="24" t="s">
        <v>6</v>
      </c>
      <c r="E3" s="24" t="s">
        <v>7</v>
      </c>
      <c r="F3" s="24" t="s">
        <v>8</v>
      </c>
      <c r="G3" s="24" t="s">
        <v>9</v>
      </c>
      <c r="H3" s="24" t="s">
        <v>10</v>
      </c>
      <c r="I3" s="24" t="s">
        <v>11</v>
      </c>
    </row>
    <row r="4" ht="16.5" customHeight="1" spans="1:9">
      <c r="A4" s="31" t="s">
        <v>96</v>
      </c>
      <c r="B4" s="26" t="s">
        <v>13</v>
      </c>
      <c r="C4" s="27" t="s">
        <v>14</v>
      </c>
      <c r="D4" s="27" t="s">
        <v>15</v>
      </c>
      <c r="E4" s="28">
        <f t="shared" ref="E4:E15" si="0">IF($F4="","",$F4*$B$2)</f>
        <v>0.75</v>
      </c>
      <c r="F4" s="29">
        <v>5</v>
      </c>
      <c r="G4" s="30"/>
      <c r="H4" s="31"/>
      <c r="I4" s="31"/>
    </row>
    <row r="5" ht="16.5" customHeight="1" spans="1:9">
      <c r="A5" s="31" t="s">
        <v>96</v>
      </c>
      <c r="B5" s="26" t="s">
        <v>13</v>
      </c>
      <c r="C5" s="27" t="s">
        <v>14</v>
      </c>
      <c r="D5" s="27" t="s">
        <v>17</v>
      </c>
      <c r="E5" s="28">
        <f t="shared" si="0"/>
        <v>1.5</v>
      </c>
      <c r="F5" s="29">
        <v>10</v>
      </c>
      <c r="G5" s="30"/>
      <c r="H5" s="31"/>
      <c r="I5" s="31"/>
    </row>
    <row r="6" ht="16.5" customHeight="1" spans="1:9">
      <c r="A6" s="31" t="s">
        <v>96</v>
      </c>
      <c r="B6" s="26" t="s">
        <v>13</v>
      </c>
      <c r="C6" s="27" t="s">
        <v>14</v>
      </c>
      <c r="D6" s="27" t="s">
        <v>19</v>
      </c>
      <c r="E6" s="28">
        <f t="shared" si="0"/>
        <v>2.25</v>
      </c>
      <c r="F6" s="29">
        <v>15</v>
      </c>
      <c r="G6" s="30"/>
      <c r="H6" s="31"/>
      <c r="I6" s="31"/>
    </row>
    <row r="7" ht="16.5" customHeight="1" spans="1:9">
      <c r="A7" s="31" t="s">
        <v>96</v>
      </c>
      <c r="B7" s="26" t="s">
        <v>13</v>
      </c>
      <c r="C7" s="27" t="s">
        <v>14</v>
      </c>
      <c r="D7" s="27" t="s">
        <v>20</v>
      </c>
      <c r="E7" s="28">
        <f t="shared" si="0"/>
        <v>3</v>
      </c>
      <c r="F7" s="29">
        <v>20</v>
      </c>
      <c r="G7" s="30"/>
      <c r="H7" s="31"/>
      <c r="I7" s="31"/>
    </row>
    <row r="8" ht="16.5" customHeight="1" spans="1:9">
      <c r="A8" s="31" t="s">
        <v>96</v>
      </c>
      <c r="B8" s="26" t="s">
        <v>13</v>
      </c>
      <c r="C8" s="27" t="s">
        <v>14</v>
      </c>
      <c r="D8" s="27" t="s">
        <v>21</v>
      </c>
      <c r="E8" s="28">
        <f t="shared" si="0"/>
        <v>4.5</v>
      </c>
      <c r="F8" s="29">
        <v>30</v>
      </c>
      <c r="G8" s="30"/>
      <c r="H8" s="31"/>
      <c r="I8" s="31"/>
    </row>
    <row r="9" ht="16.5" customHeight="1" spans="1:9">
      <c r="A9" s="31" t="s">
        <v>96</v>
      </c>
      <c r="B9" s="26" t="s">
        <v>13</v>
      </c>
      <c r="C9" s="27" t="s">
        <v>14</v>
      </c>
      <c r="D9" s="27" t="s">
        <v>22</v>
      </c>
      <c r="E9" s="28">
        <f t="shared" si="0"/>
        <v>5.25</v>
      </c>
      <c r="F9" s="29">
        <v>35</v>
      </c>
      <c r="G9" s="30"/>
      <c r="H9" s="31"/>
      <c r="I9" s="31"/>
    </row>
    <row r="10" ht="16.5" customHeight="1" spans="1:9">
      <c r="A10" s="35" t="s">
        <v>96</v>
      </c>
      <c r="B10" s="32" t="s">
        <v>27</v>
      </c>
      <c r="C10" s="33" t="s">
        <v>28</v>
      </c>
      <c r="D10" s="33" t="s">
        <v>29</v>
      </c>
      <c r="E10" s="34">
        <f t="shared" si="0"/>
        <v>1.5</v>
      </c>
      <c r="F10" s="29">
        <v>10</v>
      </c>
      <c r="G10" s="30"/>
      <c r="H10" s="35"/>
      <c r="I10" s="35"/>
    </row>
    <row r="11" ht="16.5" customHeight="1" spans="1:9">
      <c r="A11" s="35" t="s">
        <v>96</v>
      </c>
      <c r="B11" s="32" t="s">
        <v>27</v>
      </c>
      <c r="C11" s="33" t="s">
        <v>28</v>
      </c>
      <c r="D11" s="33" t="s">
        <v>30</v>
      </c>
      <c r="E11" s="34">
        <f t="shared" si="0"/>
        <v>2.1</v>
      </c>
      <c r="F11" s="29">
        <v>14</v>
      </c>
      <c r="G11" s="30"/>
      <c r="H11" s="35"/>
      <c r="I11" s="35"/>
    </row>
    <row r="12" ht="16.5" customHeight="1" spans="1:9">
      <c r="A12" s="35" t="s">
        <v>96</v>
      </c>
      <c r="B12" s="32" t="s">
        <v>27</v>
      </c>
      <c r="C12" s="33" t="s">
        <v>28</v>
      </c>
      <c r="D12" s="33" t="s">
        <v>33</v>
      </c>
      <c r="E12" s="34">
        <f t="shared" si="0"/>
        <v>2.1</v>
      </c>
      <c r="F12" s="29">
        <v>14</v>
      </c>
      <c r="G12" s="30"/>
      <c r="H12" s="35"/>
      <c r="I12" s="35"/>
    </row>
    <row r="13" ht="16.5" customHeight="1" spans="1:9">
      <c r="A13" s="35" t="s">
        <v>96</v>
      </c>
      <c r="B13" s="32" t="s">
        <v>27</v>
      </c>
      <c r="C13" s="33" t="s">
        <v>28</v>
      </c>
      <c r="D13" s="33" t="s">
        <v>34</v>
      </c>
      <c r="E13" s="34">
        <f t="shared" si="0"/>
        <v>4.65</v>
      </c>
      <c r="F13" s="29">
        <v>31</v>
      </c>
      <c r="G13" s="30"/>
      <c r="H13" s="35"/>
      <c r="I13" s="35"/>
    </row>
    <row r="14" ht="16.5" customHeight="1" spans="1:9">
      <c r="A14" s="31" t="s">
        <v>96</v>
      </c>
      <c r="B14" s="26" t="s">
        <v>27</v>
      </c>
      <c r="C14" s="27" t="s">
        <v>42</v>
      </c>
      <c r="D14" s="27" t="s">
        <v>37</v>
      </c>
      <c r="E14" s="28">
        <f t="shared" si="0"/>
        <v>4.65</v>
      </c>
      <c r="F14" s="29">
        <v>31</v>
      </c>
      <c r="G14" s="30"/>
      <c r="H14" s="31"/>
      <c r="I14" s="31"/>
    </row>
    <row r="15" ht="16.5" customHeight="1" spans="1:9">
      <c r="A15" s="31" t="s">
        <v>96</v>
      </c>
      <c r="B15" s="26" t="s">
        <v>27</v>
      </c>
      <c r="C15" s="27" t="s">
        <v>42</v>
      </c>
      <c r="D15" s="27" t="s">
        <v>41</v>
      </c>
      <c r="E15" s="28">
        <f t="shared" si="0"/>
        <v>12</v>
      </c>
      <c r="F15" s="29">
        <v>80</v>
      </c>
      <c r="G15" s="30"/>
      <c r="H15" s="31"/>
      <c r="I15" s="31"/>
    </row>
  </sheetData>
  <autoFilter xmlns:etc="http://www.wps.cn/officeDocument/2017/etCustomData" ref="A3:I15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pane ySplit="3" topLeftCell="A4" activePane="bottomLeft" state="frozen"/>
      <selection/>
      <selection pane="bottomLeft" activeCell="G19" sqref="G19"/>
    </sheetView>
  </sheetViews>
  <sheetFormatPr defaultColWidth="8.71875" defaultRowHeight="16.8"/>
  <cols>
    <col min="1" max="1" width="18" style="1" customWidth="1"/>
    <col min="2" max="2" width="8" style="1" customWidth="1"/>
    <col min="3" max="3" width="10" style="1" customWidth="1"/>
    <col min="4" max="4" width="12" style="1" customWidth="1"/>
    <col min="5" max="5" width="14" style="1" customWidth="1"/>
    <col min="6" max="6" width="16" style="1" customWidth="1"/>
    <col min="7" max="7" width="13" style="1" customWidth="1"/>
    <col min="8" max="8" width="18" style="1" customWidth="1"/>
    <col min="9" max="9" width="22" style="1" customWidth="1"/>
  </cols>
  <sheetData>
    <row r="1" ht="21" customHeight="1" spans="1:9">
      <c r="A1" s="21" t="s">
        <v>97</v>
      </c>
    </row>
    <row r="2" ht="16.5" customHeight="1" spans="1:9">
      <c r="A2" s="11" t="s">
        <v>1</v>
      </c>
      <c r="B2" s="22">
        <v>0.15</v>
      </c>
      <c r="C2" s="23" t="s">
        <v>2</v>
      </c>
    </row>
    <row r="3" ht="27.75" customHeight="1" spans="1:9">
      <c r="A3" s="24" t="s">
        <v>3</v>
      </c>
      <c r="B3" s="24" t="s">
        <v>4</v>
      </c>
      <c r="C3" s="24" t="s">
        <v>5</v>
      </c>
      <c r="D3" s="24" t="s">
        <v>6</v>
      </c>
      <c r="E3" s="24" t="s">
        <v>7</v>
      </c>
      <c r="F3" s="24" t="s">
        <v>8</v>
      </c>
      <c r="G3" s="24" t="s">
        <v>9</v>
      </c>
      <c r="H3" s="24" t="s">
        <v>10</v>
      </c>
      <c r="I3" s="24" t="s">
        <v>11</v>
      </c>
    </row>
    <row r="4" ht="16.5" customHeight="1" spans="1:9">
      <c r="A4" s="31" t="s">
        <v>98</v>
      </c>
      <c r="B4" s="26" t="s">
        <v>13</v>
      </c>
      <c r="C4" s="27" t="s">
        <v>14</v>
      </c>
      <c r="D4" s="27" t="s">
        <v>15</v>
      </c>
      <c r="E4" s="28">
        <f t="shared" ref="E4:E15" si="0">IF($F4="","",$F4*$B$2)</f>
        <v>0.75</v>
      </c>
      <c r="F4" s="29">
        <v>5</v>
      </c>
      <c r="G4" s="30"/>
      <c r="H4" s="31"/>
      <c r="I4" s="31"/>
    </row>
    <row r="5" ht="16.5" customHeight="1" spans="1:9">
      <c r="A5" s="31" t="s">
        <v>98</v>
      </c>
      <c r="B5" s="26" t="s">
        <v>13</v>
      </c>
      <c r="C5" s="27" t="s">
        <v>14</v>
      </c>
      <c r="D5" s="27" t="s">
        <v>17</v>
      </c>
      <c r="E5" s="28">
        <f t="shared" si="0"/>
        <v>1.95</v>
      </c>
      <c r="F5" s="29">
        <v>13</v>
      </c>
      <c r="G5" s="30"/>
      <c r="H5" s="31"/>
      <c r="I5" s="31"/>
    </row>
    <row r="6" ht="16.5" customHeight="1" spans="1:9">
      <c r="A6" s="31" t="s">
        <v>98</v>
      </c>
      <c r="B6" s="26" t="s">
        <v>13</v>
      </c>
      <c r="C6" s="27" t="s">
        <v>14</v>
      </c>
      <c r="D6" s="27" t="s">
        <v>19</v>
      </c>
      <c r="E6" s="28">
        <f t="shared" si="0"/>
        <v>2.25</v>
      </c>
      <c r="F6" s="29">
        <v>15</v>
      </c>
      <c r="G6" s="30"/>
      <c r="H6" s="31"/>
      <c r="I6" s="31"/>
    </row>
    <row r="7" ht="16.5" customHeight="1" spans="1:9">
      <c r="A7" s="31" t="s">
        <v>98</v>
      </c>
      <c r="B7" s="26" t="s">
        <v>13</v>
      </c>
      <c r="C7" s="27" t="s">
        <v>14</v>
      </c>
      <c r="D7" s="27" t="s">
        <v>20</v>
      </c>
      <c r="E7" s="28">
        <f t="shared" si="0"/>
        <v>3</v>
      </c>
      <c r="F7" s="29">
        <v>20</v>
      </c>
      <c r="G7" s="30"/>
      <c r="H7" s="31"/>
      <c r="I7" s="31"/>
    </row>
    <row r="8" ht="16.5" customHeight="1" spans="1:9">
      <c r="A8" s="31" t="s">
        <v>98</v>
      </c>
      <c r="B8" s="26" t="s">
        <v>13</v>
      </c>
      <c r="C8" s="27" t="s">
        <v>14</v>
      </c>
      <c r="D8" s="27" t="s">
        <v>21</v>
      </c>
      <c r="E8" s="28">
        <f t="shared" si="0"/>
        <v>4.5</v>
      </c>
      <c r="F8" s="29">
        <v>30</v>
      </c>
      <c r="G8" s="30"/>
      <c r="H8" s="31"/>
      <c r="I8" s="31"/>
    </row>
    <row r="9" ht="16.5" customHeight="1" spans="1:9">
      <c r="A9" s="31" t="s">
        <v>98</v>
      </c>
      <c r="B9" s="26" t="s">
        <v>13</v>
      </c>
      <c r="C9" s="27" t="s">
        <v>14</v>
      </c>
      <c r="D9" s="27" t="s">
        <v>22</v>
      </c>
      <c r="E9" s="28">
        <f t="shared" si="0"/>
        <v>6</v>
      </c>
      <c r="F9" s="29">
        <v>40</v>
      </c>
      <c r="G9" s="30"/>
      <c r="H9" s="31"/>
      <c r="I9" s="31"/>
    </row>
    <row r="10" ht="16.5" customHeight="1" spans="1:9">
      <c r="A10" s="35" t="s">
        <v>98</v>
      </c>
      <c r="B10" s="32" t="s">
        <v>24</v>
      </c>
      <c r="C10" s="33" t="s">
        <v>14</v>
      </c>
      <c r="D10" s="33" t="s">
        <v>20</v>
      </c>
      <c r="E10" s="34">
        <f t="shared" si="0"/>
        <v>2.7</v>
      </c>
      <c r="F10" s="29">
        <v>18</v>
      </c>
      <c r="G10" s="30"/>
      <c r="H10" s="35"/>
      <c r="I10" s="35"/>
    </row>
    <row r="11" ht="16.5" customHeight="1" spans="1:9">
      <c r="A11" s="35" t="s">
        <v>98</v>
      </c>
      <c r="B11" s="32" t="s">
        <v>24</v>
      </c>
      <c r="C11" s="33" t="s">
        <v>14</v>
      </c>
      <c r="D11" s="33" t="s">
        <v>21</v>
      </c>
      <c r="E11" s="34">
        <f t="shared" si="0"/>
        <v>4.2</v>
      </c>
      <c r="F11" s="29">
        <v>28</v>
      </c>
      <c r="G11" s="30"/>
      <c r="H11" s="35"/>
      <c r="I11" s="35"/>
    </row>
    <row r="12" ht="16.5" customHeight="1" spans="1:9">
      <c r="A12" s="35" t="s">
        <v>98</v>
      </c>
      <c r="B12" s="32" t="s">
        <v>24</v>
      </c>
      <c r="C12" s="33" t="s">
        <v>14</v>
      </c>
      <c r="D12" s="33" t="s">
        <v>22</v>
      </c>
      <c r="E12" s="34">
        <f t="shared" si="0"/>
        <v>5.7</v>
      </c>
      <c r="F12" s="29">
        <v>38</v>
      </c>
      <c r="G12" s="30"/>
      <c r="H12" s="35"/>
      <c r="I12" s="35"/>
    </row>
    <row r="13" ht="16.5" customHeight="1" spans="1:9">
      <c r="A13" s="35" t="s">
        <v>98</v>
      </c>
      <c r="B13" s="32" t="s">
        <v>24</v>
      </c>
      <c r="C13" s="33" t="s">
        <v>14</v>
      </c>
      <c r="D13" s="33" t="s">
        <v>23</v>
      </c>
      <c r="E13" s="34">
        <f t="shared" si="0"/>
        <v>6.45</v>
      </c>
      <c r="F13" s="29">
        <v>43</v>
      </c>
      <c r="G13" s="30"/>
      <c r="H13" s="35"/>
      <c r="I13" s="35"/>
    </row>
    <row r="14" ht="16.5" customHeight="1" spans="1:9">
      <c r="A14" s="35" t="s">
        <v>98</v>
      </c>
      <c r="B14" s="32" t="s">
        <v>24</v>
      </c>
      <c r="C14" s="33" t="s">
        <v>14</v>
      </c>
      <c r="D14" s="33" t="s">
        <v>25</v>
      </c>
      <c r="E14" s="34">
        <f t="shared" si="0"/>
        <v>7.5</v>
      </c>
      <c r="F14" s="29">
        <v>50</v>
      </c>
      <c r="G14" s="30"/>
      <c r="H14" s="35"/>
      <c r="I14" s="35"/>
    </row>
    <row r="15" ht="16.5" customHeight="1" spans="1:9">
      <c r="A15" s="35" t="s">
        <v>98</v>
      </c>
      <c r="B15" s="32" t="s">
        <v>24</v>
      </c>
      <c r="C15" s="33" t="s">
        <v>14</v>
      </c>
      <c r="D15" s="33" t="s">
        <v>26</v>
      </c>
      <c r="E15" s="34" t="str">
        <f t="shared" si="0"/>
        <v/>
      </c>
      <c r="F15" s="29"/>
      <c r="G15" s="30"/>
      <c r="H15" s="35"/>
      <c r="I15" s="35"/>
    </row>
  </sheetData>
  <autoFilter xmlns:etc="http://www.wps.cn/officeDocument/2017/etCustomData" ref="A3:I15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pane ySplit="3" topLeftCell="A4" activePane="bottomLeft" state="frozen"/>
      <selection/>
      <selection pane="bottomLeft" activeCell="G27" sqref="G27"/>
    </sheetView>
  </sheetViews>
  <sheetFormatPr defaultColWidth="8.71875" defaultRowHeight="16.8"/>
  <cols>
    <col min="1" max="1" width="18" style="1" customWidth="1"/>
    <col min="2" max="2" width="8" style="1" customWidth="1"/>
    <col min="3" max="3" width="10" style="1" customWidth="1"/>
    <col min="4" max="4" width="12" style="1" customWidth="1"/>
    <col min="5" max="5" width="14" style="1" customWidth="1"/>
    <col min="6" max="6" width="16" style="1" customWidth="1"/>
    <col min="7" max="7" width="13" style="1" customWidth="1"/>
    <col min="8" max="8" width="18" style="1" customWidth="1"/>
    <col min="9" max="9" width="22" style="1" customWidth="1"/>
  </cols>
  <sheetData>
    <row r="1" ht="21" customHeight="1" spans="1:9">
      <c r="A1" s="21" t="s">
        <v>99</v>
      </c>
    </row>
    <row r="2" ht="16.5" customHeight="1" spans="1:9">
      <c r="A2" s="11" t="s">
        <v>1</v>
      </c>
      <c r="B2" s="22">
        <v>0.15</v>
      </c>
      <c r="C2" s="23" t="s">
        <v>2</v>
      </c>
    </row>
    <row r="3" ht="27.75" customHeight="1" spans="1:9">
      <c r="A3" s="24" t="s">
        <v>3</v>
      </c>
      <c r="B3" s="24" t="s">
        <v>4</v>
      </c>
      <c r="C3" s="24" t="s">
        <v>5</v>
      </c>
      <c r="D3" s="24" t="s">
        <v>6</v>
      </c>
      <c r="E3" s="24" t="s">
        <v>7</v>
      </c>
      <c r="F3" s="24" t="s">
        <v>8</v>
      </c>
      <c r="G3" s="24" t="s">
        <v>9</v>
      </c>
      <c r="H3" s="24" t="s">
        <v>10</v>
      </c>
      <c r="I3" s="24" t="s">
        <v>11</v>
      </c>
    </row>
    <row r="4" ht="16.5" customHeight="1" spans="1:9">
      <c r="A4" s="31" t="s">
        <v>100</v>
      </c>
      <c r="B4" s="26" t="s">
        <v>13</v>
      </c>
      <c r="C4" s="27" t="s">
        <v>14</v>
      </c>
      <c r="D4" s="27" t="s">
        <v>15</v>
      </c>
      <c r="E4" s="28">
        <f t="shared" ref="E4:E19" si="0">IF($F4="","",$F4*$B$2)</f>
        <v>0.9</v>
      </c>
      <c r="F4" s="29">
        <v>6</v>
      </c>
      <c r="G4" s="30"/>
      <c r="H4" s="31"/>
      <c r="I4" s="31"/>
    </row>
    <row r="5" ht="16.5" customHeight="1" spans="1:9">
      <c r="A5" s="31" t="s">
        <v>100</v>
      </c>
      <c r="B5" s="26" t="s">
        <v>13</v>
      </c>
      <c r="C5" s="27" t="s">
        <v>14</v>
      </c>
      <c r="D5" s="27" t="s">
        <v>17</v>
      </c>
      <c r="E5" s="28">
        <f t="shared" si="0"/>
        <v>1.95</v>
      </c>
      <c r="F5" s="29">
        <v>13</v>
      </c>
      <c r="G5" s="30"/>
      <c r="H5" s="31"/>
      <c r="I5" s="31"/>
    </row>
    <row r="6" ht="16.5" customHeight="1" spans="1:9">
      <c r="A6" s="31" t="s">
        <v>100</v>
      </c>
      <c r="B6" s="26" t="s">
        <v>13</v>
      </c>
      <c r="C6" s="27" t="s">
        <v>14</v>
      </c>
      <c r="D6" s="27" t="s">
        <v>19</v>
      </c>
      <c r="E6" s="28">
        <f t="shared" si="0"/>
        <v>2.55</v>
      </c>
      <c r="F6" s="29">
        <v>17</v>
      </c>
      <c r="G6" s="30"/>
      <c r="H6" s="31"/>
      <c r="I6" s="31"/>
    </row>
    <row r="7" ht="16.5" customHeight="1" spans="1:9">
      <c r="A7" s="31" t="s">
        <v>100</v>
      </c>
      <c r="B7" s="26" t="s">
        <v>13</v>
      </c>
      <c r="C7" s="27" t="s">
        <v>14</v>
      </c>
      <c r="D7" s="27" t="s">
        <v>20</v>
      </c>
      <c r="E7" s="28">
        <f t="shared" si="0"/>
        <v>4.5</v>
      </c>
      <c r="F7" s="29">
        <v>30</v>
      </c>
      <c r="G7" s="30"/>
      <c r="H7" s="31"/>
      <c r="I7" s="31"/>
    </row>
    <row r="8" ht="16.5" customHeight="1" spans="1:9">
      <c r="A8" s="31" t="s">
        <v>100</v>
      </c>
      <c r="B8" s="26" t="s">
        <v>13</v>
      </c>
      <c r="C8" s="27" t="s">
        <v>14</v>
      </c>
      <c r="D8" s="27" t="s">
        <v>21</v>
      </c>
      <c r="E8" s="28">
        <f t="shared" si="0"/>
        <v>5.25</v>
      </c>
      <c r="F8" s="29">
        <v>35</v>
      </c>
      <c r="G8" s="30"/>
      <c r="H8" s="31"/>
      <c r="I8" s="31"/>
    </row>
    <row r="9" ht="16.5" customHeight="1" spans="1:9">
      <c r="A9" s="31" t="s">
        <v>100</v>
      </c>
      <c r="B9" s="26" t="s">
        <v>13</v>
      </c>
      <c r="C9" s="27" t="s">
        <v>14</v>
      </c>
      <c r="D9" s="27" t="s">
        <v>22</v>
      </c>
      <c r="E9" s="28">
        <f t="shared" si="0"/>
        <v>5.7</v>
      </c>
      <c r="F9" s="29">
        <v>38</v>
      </c>
      <c r="G9" s="30"/>
      <c r="H9" s="31"/>
      <c r="I9" s="31"/>
    </row>
    <row r="10" ht="16.5" customHeight="1" spans="1:9">
      <c r="A10" s="35" t="s">
        <v>100</v>
      </c>
      <c r="B10" s="32" t="s">
        <v>24</v>
      </c>
      <c r="C10" s="33" t="s">
        <v>14</v>
      </c>
      <c r="D10" s="33" t="s">
        <v>20</v>
      </c>
      <c r="E10" s="34">
        <f t="shared" si="0"/>
        <v>4.5</v>
      </c>
      <c r="F10" s="29">
        <v>30</v>
      </c>
      <c r="G10" s="30"/>
      <c r="H10" s="35"/>
      <c r="I10" s="35"/>
    </row>
    <row r="11" ht="16.5" customHeight="1" spans="1:9">
      <c r="A11" s="35" t="s">
        <v>100</v>
      </c>
      <c r="B11" s="32" t="s">
        <v>24</v>
      </c>
      <c r="C11" s="33" t="s">
        <v>14</v>
      </c>
      <c r="D11" s="33" t="s">
        <v>21</v>
      </c>
      <c r="E11" s="34">
        <f t="shared" si="0"/>
        <v>5.25</v>
      </c>
      <c r="F11" s="29">
        <v>35</v>
      </c>
      <c r="G11" s="30"/>
      <c r="H11" s="35"/>
      <c r="I11" s="35"/>
    </row>
    <row r="12" ht="16.5" customHeight="1" spans="1:9">
      <c r="A12" s="35" t="s">
        <v>100</v>
      </c>
      <c r="B12" s="32" t="s">
        <v>24</v>
      </c>
      <c r="C12" s="33" t="s">
        <v>14</v>
      </c>
      <c r="D12" s="33" t="s">
        <v>22</v>
      </c>
      <c r="E12" s="34">
        <f t="shared" si="0"/>
        <v>5.7</v>
      </c>
      <c r="F12" s="29">
        <v>38</v>
      </c>
      <c r="G12" s="30"/>
      <c r="H12" s="35"/>
      <c r="I12" s="35"/>
    </row>
    <row r="13" ht="16.5" customHeight="1" spans="1:9">
      <c r="A13" s="35" t="s">
        <v>100</v>
      </c>
      <c r="B13" s="32" t="s">
        <v>24</v>
      </c>
      <c r="C13" s="33" t="s">
        <v>14</v>
      </c>
      <c r="D13" s="33" t="s">
        <v>23</v>
      </c>
      <c r="E13" s="34">
        <f t="shared" si="0"/>
        <v>6.3</v>
      </c>
      <c r="F13" s="29">
        <v>42</v>
      </c>
      <c r="G13" s="30"/>
      <c r="H13" s="35"/>
      <c r="I13" s="35"/>
    </row>
    <row r="14" ht="16.5" customHeight="1" spans="1:9">
      <c r="A14" s="35" t="s">
        <v>100</v>
      </c>
      <c r="B14" s="32" t="s">
        <v>24</v>
      </c>
      <c r="C14" s="33" t="s">
        <v>14</v>
      </c>
      <c r="D14" s="33" t="s">
        <v>25</v>
      </c>
      <c r="E14" s="34">
        <f t="shared" si="0"/>
        <v>7.5</v>
      </c>
      <c r="F14" s="29">
        <v>50</v>
      </c>
      <c r="G14" s="30"/>
      <c r="H14" s="35"/>
      <c r="I14" s="35"/>
    </row>
    <row r="15" ht="16.5" customHeight="1" spans="1:9">
      <c r="A15" s="31" t="s">
        <v>100</v>
      </c>
      <c r="B15" s="26" t="s">
        <v>27</v>
      </c>
      <c r="C15" s="27" t="s">
        <v>28</v>
      </c>
      <c r="D15" s="27" t="s">
        <v>29</v>
      </c>
      <c r="E15" s="28">
        <f t="shared" si="0"/>
        <v>1.5</v>
      </c>
      <c r="F15" s="29">
        <v>10</v>
      </c>
      <c r="G15" s="30"/>
      <c r="H15" s="31"/>
      <c r="I15" s="31"/>
    </row>
    <row r="16" ht="16.5" customHeight="1" spans="1:9">
      <c r="A16" s="31" t="s">
        <v>100</v>
      </c>
      <c r="B16" s="26" t="s">
        <v>27</v>
      </c>
      <c r="C16" s="27" t="s">
        <v>28</v>
      </c>
      <c r="D16" s="27" t="s">
        <v>30</v>
      </c>
      <c r="E16" s="28">
        <f t="shared" si="0"/>
        <v>2.1</v>
      </c>
      <c r="F16" s="29">
        <v>14</v>
      </c>
      <c r="G16" s="30"/>
      <c r="H16" s="31"/>
      <c r="I16" s="31"/>
    </row>
    <row r="17" ht="16.5" customHeight="1" spans="1:9">
      <c r="A17" s="31" t="s">
        <v>100</v>
      </c>
      <c r="B17" s="26" t="s">
        <v>27</v>
      </c>
      <c r="C17" s="27" t="s">
        <v>28</v>
      </c>
      <c r="D17" s="27" t="s">
        <v>33</v>
      </c>
      <c r="E17" s="28">
        <f t="shared" si="0"/>
        <v>2.1</v>
      </c>
      <c r="F17" s="29">
        <v>14</v>
      </c>
      <c r="G17" s="30"/>
      <c r="H17" s="31"/>
      <c r="I17" s="31"/>
    </row>
    <row r="18" ht="16.5" customHeight="1" spans="1:9">
      <c r="A18" s="35" t="s">
        <v>100</v>
      </c>
      <c r="B18" s="32" t="s">
        <v>27</v>
      </c>
      <c r="C18" s="33" t="s">
        <v>42</v>
      </c>
      <c r="D18" s="33" t="s">
        <v>37</v>
      </c>
      <c r="E18" s="34">
        <f t="shared" si="0"/>
        <v>5.25</v>
      </c>
      <c r="F18" s="29">
        <v>35</v>
      </c>
      <c r="G18" s="30"/>
      <c r="H18" s="35"/>
      <c r="I18" s="35"/>
    </row>
    <row r="19" ht="16.5" customHeight="1" spans="1:9">
      <c r="A19" s="35" t="s">
        <v>100</v>
      </c>
      <c r="B19" s="32" t="s">
        <v>27</v>
      </c>
      <c r="C19" s="33" t="s">
        <v>42</v>
      </c>
      <c r="D19" s="33" t="s">
        <v>41</v>
      </c>
      <c r="E19" s="34">
        <f t="shared" si="0"/>
        <v>12</v>
      </c>
      <c r="F19" s="29">
        <v>80</v>
      </c>
      <c r="G19" s="30"/>
      <c r="H19" s="35"/>
      <c r="I19" s="35"/>
    </row>
  </sheetData>
  <autoFilter xmlns:etc="http://www.wps.cn/officeDocument/2017/etCustomData" ref="A3:I19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pane ySplit="3" topLeftCell="A4" activePane="bottomLeft" state="frozen"/>
      <selection/>
      <selection pane="bottomLeft" activeCell="H21" sqref="H21"/>
    </sheetView>
  </sheetViews>
  <sheetFormatPr defaultColWidth="8.71875" defaultRowHeight="16.8"/>
  <cols>
    <col min="1" max="1" width="18" style="1" customWidth="1"/>
    <col min="2" max="2" width="8" style="1" customWidth="1"/>
    <col min="3" max="3" width="10" style="1" customWidth="1"/>
    <col min="4" max="4" width="12" style="1" customWidth="1"/>
    <col min="5" max="5" width="14" style="1" customWidth="1"/>
    <col min="6" max="6" width="16" style="1" customWidth="1"/>
    <col min="7" max="7" width="13" style="1" customWidth="1"/>
    <col min="8" max="8" width="18" style="1" customWidth="1"/>
    <col min="9" max="9" width="22" style="1" customWidth="1"/>
  </cols>
  <sheetData>
    <row r="1" ht="21" customHeight="1" spans="1:9">
      <c r="A1" s="21" t="s">
        <v>101</v>
      </c>
    </row>
    <row r="2" ht="16.5" customHeight="1" spans="1:9">
      <c r="A2" s="11" t="s">
        <v>1</v>
      </c>
      <c r="B2" s="22">
        <v>0.15</v>
      </c>
      <c r="C2" s="23" t="s">
        <v>2</v>
      </c>
    </row>
    <row r="3" ht="27.75" customHeight="1" spans="1:9">
      <c r="A3" s="24" t="s">
        <v>3</v>
      </c>
      <c r="B3" s="24" t="s">
        <v>4</v>
      </c>
      <c r="C3" s="24" t="s">
        <v>5</v>
      </c>
      <c r="D3" s="24" t="s">
        <v>6</v>
      </c>
      <c r="E3" s="24" t="s">
        <v>7</v>
      </c>
      <c r="F3" s="24" t="s">
        <v>8</v>
      </c>
      <c r="G3" s="24" t="s">
        <v>9</v>
      </c>
      <c r="H3" s="24" t="s">
        <v>10</v>
      </c>
      <c r="I3" s="24" t="s">
        <v>11</v>
      </c>
    </row>
    <row r="4" ht="16.5" customHeight="1" spans="1:9">
      <c r="A4" s="31" t="s">
        <v>102</v>
      </c>
      <c r="B4" s="26" t="s">
        <v>62</v>
      </c>
      <c r="C4" s="27" t="s">
        <v>42</v>
      </c>
      <c r="D4" s="27" t="s">
        <v>64</v>
      </c>
      <c r="E4" s="28">
        <f t="shared" ref="E4:E17" si="0">IF($F4="","",$F4*$B$2)</f>
        <v>1.95</v>
      </c>
      <c r="F4" s="29">
        <v>13</v>
      </c>
      <c r="G4" s="30"/>
      <c r="H4" s="31"/>
      <c r="I4" s="31"/>
    </row>
    <row r="5" ht="16.5" customHeight="1" spans="1:9">
      <c r="A5" s="31" t="s">
        <v>102</v>
      </c>
      <c r="B5" s="26" t="s">
        <v>62</v>
      </c>
      <c r="C5" s="27" t="s">
        <v>42</v>
      </c>
      <c r="D5" s="27" t="s">
        <v>65</v>
      </c>
      <c r="E5" s="28">
        <f t="shared" si="0"/>
        <v>2.55</v>
      </c>
      <c r="F5" s="29">
        <v>17</v>
      </c>
      <c r="G5" s="30"/>
      <c r="H5" s="31"/>
      <c r="I5" s="31"/>
    </row>
    <row r="6" ht="16.5" customHeight="1" spans="1:9">
      <c r="A6" s="31" t="s">
        <v>102</v>
      </c>
      <c r="B6" s="26" t="s">
        <v>62</v>
      </c>
      <c r="C6" s="27" t="s">
        <v>42</v>
      </c>
      <c r="D6" s="27" t="s">
        <v>15</v>
      </c>
      <c r="E6" s="28">
        <f t="shared" si="0"/>
        <v>3.3</v>
      </c>
      <c r="F6" s="29">
        <v>22</v>
      </c>
      <c r="G6" s="30"/>
      <c r="H6" s="31"/>
      <c r="I6" s="31"/>
    </row>
    <row r="7" ht="16.5" customHeight="1" spans="1:9">
      <c r="A7" s="31" t="s">
        <v>102</v>
      </c>
      <c r="B7" s="26" t="s">
        <v>62</v>
      </c>
      <c r="C7" s="27" t="s">
        <v>42</v>
      </c>
      <c r="D7" s="27" t="s">
        <v>66</v>
      </c>
      <c r="E7" s="28">
        <f t="shared" si="0"/>
        <v>4.2</v>
      </c>
      <c r="F7" s="29">
        <v>28</v>
      </c>
      <c r="G7" s="30"/>
      <c r="H7" s="31"/>
      <c r="I7" s="31"/>
    </row>
    <row r="8" ht="16.5" customHeight="1" spans="1:9">
      <c r="A8" s="31" t="s">
        <v>102</v>
      </c>
      <c r="B8" s="26" t="s">
        <v>62</v>
      </c>
      <c r="C8" s="27" t="s">
        <v>42</v>
      </c>
      <c r="D8" s="27" t="s">
        <v>17</v>
      </c>
      <c r="E8" s="28">
        <f t="shared" si="0"/>
        <v>5.25</v>
      </c>
      <c r="F8" s="29">
        <v>35</v>
      </c>
      <c r="G8" s="30"/>
      <c r="H8" s="31"/>
      <c r="I8" s="31"/>
    </row>
    <row r="9" ht="16.5" customHeight="1" spans="1:9">
      <c r="A9" s="35" t="s">
        <v>102</v>
      </c>
      <c r="B9" s="32" t="s">
        <v>68</v>
      </c>
      <c r="C9" s="33" t="s">
        <v>69</v>
      </c>
      <c r="D9" s="33" t="s">
        <v>70</v>
      </c>
      <c r="E9" s="34">
        <f t="shared" si="0"/>
        <v>0.45</v>
      </c>
      <c r="F9" s="29">
        <v>3</v>
      </c>
      <c r="G9" s="30"/>
      <c r="H9" s="35"/>
      <c r="I9" s="35"/>
    </row>
    <row r="10" ht="16.5" customHeight="1" spans="1:9">
      <c r="A10" s="35" t="s">
        <v>102</v>
      </c>
      <c r="B10" s="32" t="s">
        <v>68</v>
      </c>
      <c r="C10" s="33" t="s">
        <v>69</v>
      </c>
      <c r="D10" s="33" t="s">
        <v>71</v>
      </c>
      <c r="E10" s="34">
        <f t="shared" si="0"/>
        <v>0.6</v>
      </c>
      <c r="F10" s="29">
        <v>4</v>
      </c>
      <c r="G10" s="30"/>
      <c r="H10" s="35"/>
      <c r="I10" s="35"/>
    </row>
    <row r="11" ht="16.5" customHeight="1" spans="1:9">
      <c r="A11" s="35" t="s">
        <v>102</v>
      </c>
      <c r="B11" s="32" t="s">
        <v>68</v>
      </c>
      <c r="C11" s="33" t="s">
        <v>69</v>
      </c>
      <c r="D11" s="33" t="s">
        <v>72</v>
      </c>
      <c r="E11" s="34">
        <f t="shared" si="0"/>
        <v>0.6</v>
      </c>
      <c r="F11" s="29">
        <v>4</v>
      </c>
      <c r="G11" s="30"/>
      <c r="H11" s="35"/>
      <c r="I11" s="35"/>
    </row>
    <row r="12" ht="16.5" customHeight="1" spans="1:9">
      <c r="A12" s="31" t="s">
        <v>102</v>
      </c>
      <c r="B12" s="26" t="s">
        <v>68</v>
      </c>
      <c r="C12" s="27" t="s">
        <v>73</v>
      </c>
      <c r="D12" s="27" t="s">
        <v>70</v>
      </c>
      <c r="E12" s="28">
        <f t="shared" si="0"/>
        <v>0.45</v>
      </c>
      <c r="F12" s="29">
        <v>3</v>
      </c>
      <c r="G12" s="30"/>
      <c r="H12" s="31"/>
      <c r="I12" s="31"/>
    </row>
    <row r="13" ht="16.5" customHeight="1" spans="1:9">
      <c r="A13" s="31" t="s">
        <v>102</v>
      </c>
      <c r="B13" s="26" t="s">
        <v>68</v>
      </c>
      <c r="C13" s="27" t="s">
        <v>73</v>
      </c>
      <c r="D13" s="27" t="s">
        <v>71</v>
      </c>
      <c r="E13" s="28">
        <f t="shared" si="0"/>
        <v>0.6</v>
      </c>
      <c r="F13" s="29">
        <v>4</v>
      </c>
      <c r="G13" s="30"/>
      <c r="H13" s="31"/>
      <c r="I13" s="31"/>
    </row>
    <row r="14" ht="16.5" customHeight="1" spans="1:9">
      <c r="A14" s="31" t="s">
        <v>102</v>
      </c>
      <c r="B14" s="26" t="s">
        <v>68</v>
      </c>
      <c r="C14" s="27" t="s">
        <v>73</v>
      </c>
      <c r="D14" s="27" t="s">
        <v>72</v>
      </c>
      <c r="E14" s="28">
        <f t="shared" si="0"/>
        <v>0.6</v>
      </c>
      <c r="F14" s="29">
        <v>4</v>
      </c>
      <c r="G14" s="30"/>
      <c r="H14" s="31"/>
      <c r="I14" s="31"/>
    </row>
    <row r="15" ht="16.5" customHeight="1" spans="1:9">
      <c r="A15" s="35" t="s">
        <v>102</v>
      </c>
      <c r="B15" s="32" t="s">
        <v>68</v>
      </c>
      <c r="C15" s="33" t="s">
        <v>74</v>
      </c>
      <c r="D15" s="33" t="s">
        <v>71</v>
      </c>
      <c r="E15" s="34">
        <f t="shared" si="0"/>
        <v>1.05</v>
      </c>
      <c r="F15" s="29">
        <v>7</v>
      </c>
      <c r="G15" s="30"/>
      <c r="H15" s="35"/>
      <c r="I15" s="35"/>
    </row>
    <row r="16" ht="16.5" customHeight="1" spans="1:9">
      <c r="A16" s="35" t="s">
        <v>102</v>
      </c>
      <c r="B16" s="32" t="s">
        <v>68</v>
      </c>
      <c r="C16" s="33" t="s">
        <v>74</v>
      </c>
      <c r="D16" s="33" t="s">
        <v>72</v>
      </c>
      <c r="E16" s="34">
        <f t="shared" si="0"/>
        <v>1.5</v>
      </c>
      <c r="F16" s="29">
        <v>10</v>
      </c>
      <c r="G16" s="30"/>
      <c r="H16" s="35"/>
      <c r="I16" s="35"/>
    </row>
    <row r="17" ht="16.5" customHeight="1" spans="1:9">
      <c r="A17" s="35" t="s">
        <v>102</v>
      </c>
      <c r="B17" s="32" t="s">
        <v>68</v>
      </c>
      <c r="C17" s="33" t="s">
        <v>74</v>
      </c>
      <c r="D17" s="33" t="s">
        <v>75</v>
      </c>
      <c r="E17" s="34">
        <f t="shared" si="0"/>
        <v>1.95</v>
      </c>
      <c r="F17" s="29">
        <v>13</v>
      </c>
      <c r="G17" s="30"/>
      <c r="H17" s="35"/>
      <c r="I17" s="35"/>
    </row>
  </sheetData>
  <autoFilter xmlns:etc="http://www.wps.cn/officeDocument/2017/etCustomData" ref="A3:I17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4"/>
  <sheetViews>
    <sheetView workbookViewId="0">
      <pane ySplit="3" topLeftCell="A46" activePane="bottomLeft" state="frozen"/>
      <selection/>
      <selection pane="bottomLeft" activeCell="N18" sqref="N18"/>
    </sheetView>
  </sheetViews>
  <sheetFormatPr defaultColWidth="8.71875" defaultRowHeight="16.8"/>
  <cols>
    <col min="1" max="1" width="23.4296875" style="1" customWidth="1"/>
    <col min="2" max="2" width="8" style="1" customWidth="1"/>
    <col min="3" max="3" width="10" style="1" customWidth="1"/>
    <col min="4" max="4" width="12" style="1" customWidth="1"/>
    <col min="5" max="5" width="14" style="1" customWidth="1"/>
    <col min="6" max="6" width="16" style="1" customWidth="1"/>
    <col min="7" max="7" width="13" style="1" customWidth="1"/>
    <col min="8" max="8" width="18" style="1" customWidth="1"/>
    <col min="9" max="9" width="22" style="1" customWidth="1"/>
  </cols>
  <sheetData>
    <row r="1" ht="21" customHeight="1" spans="1:9">
      <c r="A1" s="21" t="s">
        <v>103</v>
      </c>
    </row>
    <row r="2" ht="16.5" customHeight="1" spans="1:9">
      <c r="A2" s="11" t="s">
        <v>1</v>
      </c>
      <c r="B2" s="22">
        <v>0.15</v>
      </c>
      <c r="C2" s="23" t="s">
        <v>2</v>
      </c>
    </row>
    <row r="3" ht="27.75" customHeight="1" spans="1:9">
      <c r="A3" s="24" t="s">
        <v>3</v>
      </c>
      <c r="B3" s="24" t="s">
        <v>4</v>
      </c>
      <c r="C3" s="24" t="s">
        <v>5</v>
      </c>
      <c r="D3" s="24" t="s">
        <v>6</v>
      </c>
      <c r="E3" s="24" t="s">
        <v>7</v>
      </c>
      <c r="F3" s="24" t="s">
        <v>8</v>
      </c>
      <c r="G3" s="24" t="s">
        <v>9</v>
      </c>
      <c r="H3" s="24" t="s">
        <v>10</v>
      </c>
      <c r="I3" s="24" t="s">
        <v>11</v>
      </c>
    </row>
    <row r="4" ht="16.5" customHeight="1" spans="1:9">
      <c r="A4" s="25"/>
      <c r="B4" s="26" t="s">
        <v>13</v>
      </c>
      <c r="C4" s="27" t="s">
        <v>14</v>
      </c>
      <c r="D4" s="27" t="s">
        <v>15</v>
      </c>
      <c r="E4" s="28" t="str">
        <f t="shared" ref="E4:E67" si="0">IF($F4="","",$F4*$B$2)</f>
        <v/>
      </c>
      <c r="F4" s="29"/>
      <c r="G4" s="30"/>
      <c r="H4" s="31"/>
      <c r="I4" s="31"/>
    </row>
    <row r="5" ht="16.5" customHeight="1" spans="1:9">
      <c r="A5" s="25" t="s">
        <v>104</v>
      </c>
      <c r="B5" s="26" t="s">
        <v>13</v>
      </c>
      <c r="C5" s="27" t="s">
        <v>14</v>
      </c>
      <c r="D5" s="27" t="s">
        <v>17</v>
      </c>
      <c r="E5" s="28">
        <f t="shared" si="0"/>
        <v>1.5</v>
      </c>
      <c r="F5" s="29">
        <v>10</v>
      </c>
      <c r="G5" s="30"/>
      <c r="H5" s="31"/>
      <c r="I5" s="31" t="s">
        <v>105</v>
      </c>
    </row>
    <row r="6" ht="16.5" customHeight="1" spans="1:9">
      <c r="A6" s="25"/>
      <c r="B6" s="26" t="s">
        <v>13</v>
      </c>
      <c r="C6" s="27" t="s">
        <v>14</v>
      </c>
      <c r="D6" s="27" t="s">
        <v>19</v>
      </c>
      <c r="E6" s="28" t="str">
        <f t="shared" si="0"/>
        <v/>
      </c>
      <c r="F6" s="29"/>
      <c r="G6" s="30"/>
      <c r="H6" s="31"/>
      <c r="I6" s="31"/>
    </row>
    <row r="7" ht="16.5" customHeight="1" spans="1:9">
      <c r="A7" s="25"/>
      <c r="B7" s="26" t="s">
        <v>13</v>
      </c>
      <c r="C7" s="27" t="s">
        <v>14</v>
      </c>
      <c r="D7" s="27" t="s">
        <v>20</v>
      </c>
      <c r="E7" s="28" t="str">
        <f t="shared" si="0"/>
        <v/>
      </c>
      <c r="F7" s="29"/>
      <c r="G7" s="30"/>
      <c r="H7" s="31"/>
      <c r="I7" s="31"/>
    </row>
    <row r="8" ht="16.5" customHeight="1" spans="1:9">
      <c r="A8" s="25"/>
      <c r="B8" s="26" t="s">
        <v>13</v>
      </c>
      <c r="C8" s="27" t="s">
        <v>14</v>
      </c>
      <c r="D8" s="27" t="s">
        <v>21</v>
      </c>
      <c r="E8" s="28" t="str">
        <f t="shared" si="0"/>
        <v/>
      </c>
      <c r="F8" s="29"/>
      <c r="G8" s="30"/>
      <c r="H8" s="31"/>
      <c r="I8" s="31"/>
    </row>
    <row r="9" ht="16.5" customHeight="1" spans="1:9">
      <c r="A9" s="25"/>
      <c r="B9" s="26" t="s">
        <v>13</v>
      </c>
      <c r="C9" s="27" t="s">
        <v>14</v>
      </c>
      <c r="D9" s="27" t="s">
        <v>22</v>
      </c>
      <c r="E9" s="28" t="str">
        <f t="shared" si="0"/>
        <v/>
      </c>
      <c r="F9" s="29"/>
      <c r="G9" s="30"/>
      <c r="H9" s="31"/>
      <c r="I9" s="31"/>
    </row>
    <row r="10" ht="16.5" customHeight="1" spans="1:9">
      <c r="A10" s="25"/>
      <c r="B10" s="26" t="s">
        <v>13</v>
      </c>
      <c r="C10" s="27" t="s">
        <v>14</v>
      </c>
      <c r="D10" s="27" t="s">
        <v>23</v>
      </c>
      <c r="E10" s="28" t="str">
        <f t="shared" si="0"/>
        <v/>
      </c>
      <c r="F10" s="29"/>
      <c r="G10" s="30"/>
      <c r="H10" s="31"/>
      <c r="I10" s="31"/>
    </row>
    <row r="11" ht="16.5" customHeight="1" spans="1:9">
      <c r="A11" s="25"/>
      <c r="B11" s="32" t="s">
        <v>24</v>
      </c>
      <c r="C11" s="33" t="s">
        <v>14</v>
      </c>
      <c r="D11" s="33" t="s">
        <v>20</v>
      </c>
      <c r="E11" s="34" t="str">
        <f t="shared" si="0"/>
        <v/>
      </c>
      <c r="F11" s="29"/>
      <c r="G11" s="30"/>
      <c r="H11" s="35"/>
      <c r="I11" s="35"/>
    </row>
    <row r="12" ht="16.5" customHeight="1" spans="1:9">
      <c r="A12" s="25"/>
      <c r="B12" s="32" t="s">
        <v>24</v>
      </c>
      <c r="C12" s="33" t="s">
        <v>14</v>
      </c>
      <c r="D12" s="33" t="s">
        <v>21</v>
      </c>
      <c r="E12" s="34" t="str">
        <f t="shared" si="0"/>
        <v/>
      </c>
      <c r="F12" s="29"/>
      <c r="G12" s="30"/>
      <c r="H12" s="35"/>
      <c r="I12" s="35"/>
    </row>
    <row r="13" ht="16.5" customHeight="1" spans="1:9">
      <c r="A13" s="25"/>
      <c r="B13" s="32" t="s">
        <v>24</v>
      </c>
      <c r="C13" s="33" t="s">
        <v>14</v>
      </c>
      <c r="D13" s="33" t="s">
        <v>22</v>
      </c>
      <c r="E13" s="34" t="str">
        <f t="shared" si="0"/>
        <v/>
      </c>
      <c r="F13" s="29"/>
      <c r="G13" s="30"/>
      <c r="H13" s="35"/>
      <c r="I13" s="35"/>
    </row>
    <row r="14" ht="16.5" customHeight="1" spans="1:9">
      <c r="A14" s="25"/>
      <c r="B14" s="32" t="s">
        <v>24</v>
      </c>
      <c r="C14" s="33" t="s">
        <v>14</v>
      </c>
      <c r="D14" s="33" t="s">
        <v>23</v>
      </c>
      <c r="E14" s="34" t="str">
        <f t="shared" si="0"/>
        <v/>
      </c>
      <c r="F14" s="29"/>
      <c r="G14" s="30"/>
      <c r="H14" s="35"/>
      <c r="I14" s="35"/>
    </row>
    <row r="15" ht="16.5" customHeight="1" spans="1:9">
      <c r="A15" s="25"/>
      <c r="B15" s="32" t="s">
        <v>24</v>
      </c>
      <c r="C15" s="33" t="s">
        <v>14</v>
      </c>
      <c r="D15" s="33" t="s">
        <v>25</v>
      </c>
      <c r="E15" s="34" t="str">
        <f t="shared" si="0"/>
        <v/>
      </c>
      <c r="F15" s="29"/>
      <c r="G15" s="30"/>
      <c r="H15" s="35"/>
      <c r="I15" s="35"/>
    </row>
    <row r="16" ht="16.5" customHeight="1" spans="1:9">
      <c r="A16" s="25"/>
      <c r="B16" s="32" t="s">
        <v>24</v>
      </c>
      <c r="C16" s="33" t="s">
        <v>14</v>
      </c>
      <c r="D16" s="33" t="s">
        <v>26</v>
      </c>
      <c r="E16" s="34" t="str">
        <f t="shared" si="0"/>
        <v/>
      </c>
      <c r="F16" s="29"/>
      <c r="G16" s="30"/>
      <c r="H16" s="35"/>
      <c r="I16" s="35"/>
    </row>
    <row r="17" ht="16.5" customHeight="1" spans="1:9">
      <c r="A17" s="25"/>
      <c r="B17" s="26" t="s">
        <v>27</v>
      </c>
      <c r="C17" s="27" t="s">
        <v>28</v>
      </c>
      <c r="D17" s="27" t="s">
        <v>29</v>
      </c>
      <c r="E17" s="28" t="str">
        <f t="shared" si="0"/>
        <v/>
      </c>
      <c r="F17" s="29"/>
      <c r="G17" s="30"/>
      <c r="H17" s="31"/>
      <c r="I17" s="31"/>
    </row>
    <row r="18" ht="16.5" customHeight="1" spans="1:9">
      <c r="A18" s="25"/>
      <c r="B18" s="26" t="s">
        <v>27</v>
      </c>
      <c r="C18" s="27" t="s">
        <v>28</v>
      </c>
      <c r="D18" s="27" t="s">
        <v>30</v>
      </c>
      <c r="E18" s="28" t="str">
        <f t="shared" si="0"/>
        <v/>
      </c>
      <c r="F18" s="29"/>
      <c r="G18" s="30"/>
      <c r="H18" s="31"/>
      <c r="I18" s="31"/>
    </row>
    <row r="19" ht="16.5" customHeight="1" spans="1:9">
      <c r="A19" s="25"/>
      <c r="B19" s="26" t="s">
        <v>27</v>
      </c>
      <c r="C19" s="27" t="s">
        <v>28</v>
      </c>
      <c r="D19" s="27" t="s">
        <v>33</v>
      </c>
      <c r="E19" s="28" t="str">
        <f t="shared" si="0"/>
        <v/>
      </c>
      <c r="F19" s="29"/>
      <c r="G19" s="30"/>
      <c r="H19" s="31"/>
      <c r="I19" s="31"/>
    </row>
    <row r="20" ht="16.5" customHeight="1" spans="1:9">
      <c r="A20" s="25"/>
      <c r="B20" s="26" t="s">
        <v>27</v>
      </c>
      <c r="C20" s="27" t="s">
        <v>28</v>
      </c>
      <c r="D20" s="27" t="s">
        <v>34</v>
      </c>
      <c r="E20" s="28" t="str">
        <f t="shared" si="0"/>
        <v/>
      </c>
      <c r="F20" s="29"/>
      <c r="G20" s="30"/>
      <c r="H20" s="31"/>
      <c r="I20" s="31"/>
    </row>
    <row r="21" ht="16.5" customHeight="1" spans="1:9">
      <c r="A21" s="25"/>
      <c r="B21" s="26" t="s">
        <v>27</v>
      </c>
      <c r="C21" s="27" t="s">
        <v>28</v>
      </c>
      <c r="D21" s="27" t="s">
        <v>37</v>
      </c>
      <c r="E21" s="28" t="str">
        <f t="shared" si="0"/>
        <v/>
      </c>
      <c r="F21" s="29"/>
      <c r="G21" s="30"/>
      <c r="H21" s="31"/>
      <c r="I21" s="31"/>
    </row>
    <row r="22" ht="16.5" customHeight="1" spans="1:9">
      <c r="A22" s="25"/>
      <c r="B22" s="26" t="s">
        <v>27</v>
      </c>
      <c r="C22" s="27" t="s">
        <v>28</v>
      </c>
      <c r="D22" s="27" t="s">
        <v>41</v>
      </c>
      <c r="E22" s="28" t="str">
        <f t="shared" si="0"/>
        <v/>
      </c>
      <c r="F22" s="29"/>
      <c r="G22" s="30"/>
      <c r="H22" s="31"/>
      <c r="I22" s="31"/>
    </row>
    <row r="23" ht="16.5" customHeight="1" spans="1:9">
      <c r="A23" s="25"/>
      <c r="B23" s="32" t="s">
        <v>27</v>
      </c>
      <c r="C23" s="33" t="s">
        <v>42</v>
      </c>
      <c r="D23" s="33" t="s">
        <v>33</v>
      </c>
      <c r="E23" s="34" t="str">
        <f t="shared" si="0"/>
        <v/>
      </c>
      <c r="F23" s="29"/>
      <c r="G23" s="30"/>
      <c r="H23" s="35"/>
      <c r="I23" s="35"/>
    </row>
    <row r="24" ht="16.5" customHeight="1" spans="1:9">
      <c r="A24" s="25"/>
      <c r="B24" s="32" t="s">
        <v>27</v>
      </c>
      <c r="C24" s="33" t="s">
        <v>42</v>
      </c>
      <c r="D24" s="33" t="s">
        <v>37</v>
      </c>
      <c r="E24" s="34" t="str">
        <f t="shared" si="0"/>
        <v/>
      </c>
      <c r="F24" s="29"/>
      <c r="G24" s="30"/>
      <c r="H24" s="35"/>
      <c r="I24" s="35"/>
    </row>
    <row r="25" ht="16.5" customHeight="1" spans="1:9">
      <c r="A25" s="25"/>
      <c r="B25" s="32" t="s">
        <v>27</v>
      </c>
      <c r="C25" s="33" t="s">
        <v>42</v>
      </c>
      <c r="D25" s="33" t="s">
        <v>43</v>
      </c>
      <c r="E25" s="34" t="str">
        <f t="shared" si="0"/>
        <v/>
      </c>
      <c r="F25" s="29"/>
      <c r="G25" s="30"/>
      <c r="H25" s="35"/>
      <c r="I25" s="35"/>
    </row>
    <row r="26" ht="16.5" customHeight="1" spans="1:9">
      <c r="A26" s="25"/>
      <c r="B26" s="32" t="s">
        <v>27</v>
      </c>
      <c r="C26" s="33" t="s">
        <v>42</v>
      </c>
      <c r="D26" s="33" t="s">
        <v>41</v>
      </c>
      <c r="E26" s="34" t="str">
        <f t="shared" si="0"/>
        <v/>
      </c>
      <c r="F26" s="29"/>
      <c r="G26" s="30"/>
      <c r="H26" s="35"/>
      <c r="I26" s="35"/>
    </row>
    <row r="27" ht="16.5" customHeight="1" spans="1:9">
      <c r="A27" s="25"/>
      <c r="B27" s="26" t="s">
        <v>27</v>
      </c>
      <c r="C27" s="27" t="s">
        <v>44</v>
      </c>
      <c r="D27" s="27" t="s">
        <v>37</v>
      </c>
      <c r="E27" s="28" t="str">
        <f t="shared" si="0"/>
        <v/>
      </c>
      <c r="F27" s="29"/>
      <c r="G27" s="30"/>
      <c r="H27" s="31"/>
      <c r="I27" s="31"/>
    </row>
    <row r="28" ht="16.5" customHeight="1" spans="1:9">
      <c r="A28" s="25"/>
      <c r="B28" s="26" t="s">
        <v>27</v>
      </c>
      <c r="C28" s="27" t="s">
        <v>44</v>
      </c>
      <c r="D28" s="27" t="s">
        <v>41</v>
      </c>
      <c r="E28" s="28" t="str">
        <f t="shared" si="0"/>
        <v/>
      </c>
      <c r="F28" s="29"/>
      <c r="G28" s="30"/>
      <c r="H28" s="31"/>
      <c r="I28" s="31"/>
    </row>
    <row r="29" ht="16.5" customHeight="1" spans="1:9">
      <c r="A29" s="25"/>
      <c r="B29" s="26" t="s">
        <v>27</v>
      </c>
      <c r="C29" s="27" t="s">
        <v>44</v>
      </c>
      <c r="D29" s="27" t="s">
        <v>48</v>
      </c>
      <c r="E29" s="28" t="str">
        <f t="shared" si="0"/>
        <v/>
      </c>
      <c r="F29" s="29"/>
      <c r="G29" s="30"/>
      <c r="H29" s="31"/>
      <c r="I29" s="31"/>
    </row>
    <row r="30" ht="16.5" customHeight="1" spans="1:9">
      <c r="A30" s="25"/>
      <c r="B30" s="26" t="s">
        <v>27</v>
      </c>
      <c r="C30" s="27" t="s">
        <v>44</v>
      </c>
      <c r="D30" s="27" t="s">
        <v>49</v>
      </c>
      <c r="E30" s="28" t="str">
        <f t="shared" si="0"/>
        <v/>
      </c>
      <c r="F30" s="29"/>
      <c r="G30" s="30"/>
      <c r="H30" s="31"/>
      <c r="I30" s="31"/>
    </row>
    <row r="31" ht="16.5" customHeight="1" spans="1:9">
      <c r="A31" s="25"/>
      <c r="B31" s="32" t="s">
        <v>50</v>
      </c>
      <c r="C31" s="33" t="s">
        <v>44</v>
      </c>
      <c r="D31" s="33" t="s">
        <v>41</v>
      </c>
      <c r="E31" s="34" t="str">
        <f t="shared" si="0"/>
        <v/>
      </c>
      <c r="F31" s="29"/>
      <c r="G31" s="30"/>
      <c r="H31" s="35"/>
      <c r="I31" s="35"/>
    </row>
    <row r="32" ht="16.5" customHeight="1" spans="1:9">
      <c r="A32" s="25"/>
      <c r="B32" s="32" t="s">
        <v>50</v>
      </c>
      <c r="C32" s="33" t="s">
        <v>44</v>
      </c>
      <c r="D32" s="33" t="s">
        <v>45</v>
      </c>
      <c r="E32" s="34" t="str">
        <f t="shared" si="0"/>
        <v/>
      </c>
      <c r="F32" s="29"/>
      <c r="G32" s="30"/>
      <c r="H32" s="35"/>
      <c r="I32" s="35"/>
    </row>
    <row r="33" ht="16.5" customHeight="1" spans="1:9">
      <c r="A33" s="25"/>
      <c r="B33" s="32" t="s">
        <v>50</v>
      </c>
      <c r="C33" s="33" t="s">
        <v>44</v>
      </c>
      <c r="D33" s="33" t="s">
        <v>48</v>
      </c>
      <c r="E33" s="34" t="str">
        <f t="shared" si="0"/>
        <v/>
      </c>
      <c r="F33" s="29"/>
      <c r="G33" s="30"/>
      <c r="H33" s="35"/>
      <c r="I33" s="35"/>
    </row>
    <row r="34" ht="16.5" customHeight="1" spans="1:9">
      <c r="A34" s="25"/>
      <c r="B34" s="32" t="s">
        <v>50</v>
      </c>
      <c r="C34" s="33" t="s">
        <v>44</v>
      </c>
      <c r="D34" s="33" t="s">
        <v>49</v>
      </c>
      <c r="E34" s="34" t="str">
        <f t="shared" si="0"/>
        <v/>
      </c>
      <c r="F34" s="29"/>
      <c r="G34" s="30"/>
      <c r="H34" s="35"/>
      <c r="I34" s="35"/>
    </row>
    <row r="35" ht="16.5" customHeight="1" spans="1:9">
      <c r="A35" s="25"/>
      <c r="B35" s="26" t="s">
        <v>50</v>
      </c>
      <c r="C35" s="27" t="s">
        <v>51</v>
      </c>
      <c r="D35" s="27" t="s">
        <v>49</v>
      </c>
      <c r="E35" s="28" t="str">
        <f t="shared" si="0"/>
        <v/>
      </c>
      <c r="F35" s="29"/>
      <c r="G35" s="30"/>
      <c r="H35" s="31"/>
      <c r="I35" s="31"/>
    </row>
    <row r="36" ht="16.5" customHeight="1" spans="1:9">
      <c r="A36" s="25"/>
      <c r="B36" s="26" t="s">
        <v>50</v>
      </c>
      <c r="C36" s="27" t="s">
        <v>51</v>
      </c>
      <c r="D36" s="27" t="s">
        <v>52</v>
      </c>
      <c r="E36" s="28" t="str">
        <f t="shared" si="0"/>
        <v/>
      </c>
      <c r="F36" s="29"/>
      <c r="G36" s="30"/>
      <c r="H36" s="31"/>
      <c r="I36" s="31"/>
    </row>
    <row r="37" ht="16.5" customHeight="1" spans="1:9">
      <c r="A37" s="25"/>
      <c r="B37" s="26" t="s">
        <v>50</v>
      </c>
      <c r="C37" s="27" t="s">
        <v>51</v>
      </c>
      <c r="D37" s="27" t="s">
        <v>58</v>
      </c>
      <c r="E37" s="28" t="str">
        <f t="shared" si="0"/>
        <v/>
      </c>
      <c r="F37" s="29"/>
      <c r="G37" s="30"/>
      <c r="H37" s="31"/>
      <c r="I37" s="31"/>
    </row>
    <row r="38" ht="16.5" customHeight="1" spans="1:9">
      <c r="A38" s="25"/>
      <c r="B38" s="32" t="s">
        <v>62</v>
      </c>
      <c r="C38" s="33" t="s">
        <v>28</v>
      </c>
      <c r="D38" s="33" t="s">
        <v>63</v>
      </c>
      <c r="E38" s="34" t="str">
        <f t="shared" si="0"/>
        <v/>
      </c>
      <c r="F38" s="29"/>
      <c r="G38" s="30"/>
      <c r="H38" s="35"/>
      <c r="I38" s="35"/>
    </row>
    <row r="39" ht="16.5" customHeight="1" spans="1:9">
      <c r="A39" s="25"/>
      <c r="B39" s="32" t="s">
        <v>62</v>
      </c>
      <c r="C39" s="33" t="s">
        <v>28</v>
      </c>
      <c r="D39" s="33" t="s">
        <v>64</v>
      </c>
      <c r="E39" s="34" t="str">
        <f t="shared" si="0"/>
        <v/>
      </c>
      <c r="F39" s="29"/>
      <c r="G39" s="30"/>
      <c r="H39" s="35"/>
      <c r="I39" s="35"/>
    </row>
    <row r="40" ht="16.5" customHeight="1" spans="1:9">
      <c r="A40" s="25"/>
      <c r="B40" s="32" t="s">
        <v>62</v>
      </c>
      <c r="C40" s="33" t="s">
        <v>28</v>
      </c>
      <c r="D40" s="33" t="s">
        <v>65</v>
      </c>
      <c r="E40" s="34" t="str">
        <f t="shared" si="0"/>
        <v/>
      </c>
      <c r="F40" s="29"/>
      <c r="G40" s="30"/>
      <c r="H40" s="35"/>
      <c r="I40" s="35"/>
    </row>
    <row r="41" ht="16.5" customHeight="1" spans="1:9">
      <c r="A41" s="25"/>
      <c r="B41" s="32" t="s">
        <v>62</v>
      </c>
      <c r="C41" s="33" t="s">
        <v>28</v>
      </c>
      <c r="D41" s="33" t="s">
        <v>15</v>
      </c>
      <c r="E41" s="34" t="str">
        <f t="shared" si="0"/>
        <v/>
      </c>
      <c r="F41" s="29"/>
      <c r="G41" s="30"/>
      <c r="H41" s="35"/>
      <c r="I41" s="35"/>
    </row>
    <row r="42" ht="16.5" customHeight="1" spans="1:9">
      <c r="A42" s="25"/>
      <c r="B42" s="26" t="s">
        <v>62</v>
      </c>
      <c r="C42" s="27" t="s">
        <v>42</v>
      </c>
      <c r="D42" s="27" t="s">
        <v>64</v>
      </c>
      <c r="E42" s="28" t="str">
        <f t="shared" si="0"/>
        <v/>
      </c>
      <c r="F42" s="29"/>
      <c r="G42" s="30"/>
      <c r="H42" s="31"/>
      <c r="I42" s="31"/>
    </row>
    <row r="43" ht="16.5" customHeight="1" spans="1:9">
      <c r="A43" s="25"/>
      <c r="B43" s="26" t="s">
        <v>62</v>
      </c>
      <c r="C43" s="27" t="s">
        <v>42</v>
      </c>
      <c r="D43" s="27" t="s">
        <v>65</v>
      </c>
      <c r="E43" s="28" t="str">
        <f t="shared" si="0"/>
        <v/>
      </c>
      <c r="F43" s="29"/>
      <c r="G43" s="30"/>
      <c r="H43" s="31"/>
      <c r="I43" s="31"/>
    </row>
    <row r="44" ht="16.5" customHeight="1" spans="1:9">
      <c r="A44" s="25"/>
      <c r="B44" s="26" t="s">
        <v>62</v>
      </c>
      <c r="C44" s="27" t="s">
        <v>42</v>
      </c>
      <c r="D44" s="27" t="s">
        <v>15</v>
      </c>
      <c r="E44" s="28" t="str">
        <f t="shared" si="0"/>
        <v/>
      </c>
      <c r="F44" s="29"/>
      <c r="G44" s="30"/>
      <c r="H44" s="31"/>
      <c r="I44" s="31"/>
    </row>
    <row r="45" ht="16.5" customHeight="1" spans="1:9">
      <c r="A45" s="25"/>
      <c r="B45" s="26" t="s">
        <v>62</v>
      </c>
      <c r="C45" s="27" t="s">
        <v>42</v>
      </c>
      <c r="D45" s="27" t="s">
        <v>66</v>
      </c>
      <c r="E45" s="28" t="str">
        <f t="shared" si="0"/>
        <v/>
      </c>
      <c r="F45" s="29"/>
      <c r="G45" s="30"/>
      <c r="H45" s="31"/>
      <c r="I45" s="31"/>
    </row>
    <row r="46" ht="16.5" customHeight="1" spans="1:9">
      <c r="A46" s="25"/>
      <c r="B46" s="26" t="s">
        <v>62</v>
      </c>
      <c r="C46" s="27" t="s">
        <v>42</v>
      </c>
      <c r="D46" s="27" t="s">
        <v>17</v>
      </c>
      <c r="E46" s="28" t="str">
        <f t="shared" si="0"/>
        <v/>
      </c>
      <c r="F46" s="29"/>
      <c r="G46" s="30"/>
      <c r="H46" s="31"/>
      <c r="I46" s="31"/>
    </row>
    <row r="47" ht="16.5" customHeight="1" spans="1:9">
      <c r="A47" s="25"/>
      <c r="B47" s="32" t="s">
        <v>62</v>
      </c>
      <c r="C47" s="33" t="s">
        <v>44</v>
      </c>
      <c r="D47" s="33" t="s">
        <v>64</v>
      </c>
      <c r="E47" s="34" t="str">
        <f t="shared" si="0"/>
        <v/>
      </c>
      <c r="F47" s="29"/>
      <c r="G47" s="30"/>
      <c r="H47" s="35"/>
      <c r="I47" s="35"/>
    </row>
    <row r="48" ht="16.5" customHeight="1" spans="1:9">
      <c r="A48" s="25"/>
      <c r="B48" s="32" t="s">
        <v>62</v>
      </c>
      <c r="C48" s="33" t="s">
        <v>44</v>
      </c>
      <c r="D48" s="33" t="s">
        <v>65</v>
      </c>
      <c r="E48" s="34" t="str">
        <f t="shared" si="0"/>
        <v/>
      </c>
      <c r="F48" s="29"/>
      <c r="G48" s="30"/>
      <c r="H48" s="35"/>
      <c r="I48" s="35"/>
    </row>
    <row r="49" ht="16.5" customHeight="1" spans="1:9">
      <c r="A49" s="25"/>
      <c r="B49" s="32" t="s">
        <v>62</v>
      </c>
      <c r="C49" s="33" t="s">
        <v>44</v>
      </c>
      <c r="D49" s="33" t="s">
        <v>15</v>
      </c>
      <c r="E49" s="34" t="str">
        <f t="shared" si="0"/>
        <v/>
      </c>
      <c r="F49" s="29"/>
      <c r="G49" s="30"/>
      <c r="H49" s="35"/>
      <c r="I49" s="35"/>
    </row>
    <row r="50" ht="16.5" customHeight="1" spans="1:9">
      <c r="A50" s="25"/>
      <c r="B50" s="32" t="s">
        <v>62</v>
      </c>
      <c r="C50" s="33" t="s">
        <v>44</v>
      </c>
      <c r="D50" s="33" t="s">
        <v>66</v>
      </c>
      <c r="E50" s="34" t="str">
        <f t="shared" si="0"/>
        <v/>
      </c>
      <c r="F50" s="29"/>
      <c r="G50" s="30"/>
      <c r="H50" s="35"/>
      <c r="I50" s="35"/>
    </row>
    <row r="51" ht="16.5" customHeight="1" spans="1:9">
      <c r="A51" s="25"/>
      <c r="B51" s="32" t="s">
        <v>62</v>
      </c>
      <c r="C51" s="33" t="s">
        <v>44</v>
      </c>
      <c r="D51" s="33" t="s">
        <v>17</v>
      </c>
      <c r="E51" s="34" t="str">
        <f t="shared" si="0"/>
        <v/>
      </c>
      <c r="F51" s="29"/>
      <c r="G51" s="30"/>
      <c r="H51" s="35"/>
      <c r="I51" s="35"/>
    </row>
    <row r="52" ht="16.5" customHeight="1" spans="1:9">
      <c r="A52" s="25"/>
      <c r="B52" s="26" t="s">
        <v>62</v>
      </c>
      <c r="C52" s="27" t="s">
        <v>51</v>
      </c>
      <c r="D52" s="27" t="s">
        <v>15</v>
      </c>
      <c r="E52" s="28" t="str">
        <f t="shared" si="0"/>
        <v/>
      </c>
      <c r="F52" s="29"/>
      <c r="G52" s="30"/>
      <c r="H52" s="31"/>
      <c r="I52" s="31"/>
    </row>
    <row r="53" ht="16.5" customHeight="1" spans="1:9">
      <c r="A53" s="25"/>
      <c r="B53" s="26" t="s">
        <v>62</v>
      </c>
      <c r="C53" s="27" t="s">
        <v>51</v>
      </c>
      <c r="D53" s="27" t="s">
        <v>66</v>
      </c>
      <c r="E53" s="28" t="str">
        <f t="shared" si="0"/>
        <v/>
      </c>
      <c r="F53" s="29"/>
      <c r="G53" s="30"/>
      <c r="H53" s="31"/>
      <c r="I53" s="31"/>
    </row>
    <row r="54" ht="16.5" customHeight="1" spans="1:9">
      <c r="A54" s="25"/>
      <c r="B54" s="26" t="s">
        <v>62</v>
      </c>
      <c r="C54" s="27" t="s">
        <v>51</v>
      </c>
      <c r="D54" s="27" t="s">
        <v>17</v>
      </c>
      <c r="E54" s="28" t="str">
        <f t="shared" si="0"/>
        <v/>
      </c>
      <c r="F54" s="29"/>
      <c r="G54" s="30"/>
      <c r="H54" s="31"/>
      <c r="I54" s="31"/>
    </row>
    <row r="55" ht="16.5" customHeight="1" spans="1:9">
      <c r="A55" s="25"/>
      <c r="B55" s="26" t="s">
        <v>62</v>
      </c>
      <c r="C55" s="27" t="s">
        <v>51</v>
      </c>
      <c r="D55" s="27" t="s">
        <v>67</v>
      </c>
      <c r="E55" s="28" t="str">
        <f t="shared" si="0"/>
        <v/>
      </c>
      <c r="F55" s="29"/>
      <c r="G55" s="30"/>
      <c r="H55" s="31"/>
      <c r="I55" s="31"/>
    </row>
    <row r="56" ht="16.5" customHeight="1" spans="1:9">
      <c r="A56" s="25"/>
      <c r="B56" s="26" t="s">
        <v>62</v>
      </c>
      <c r="C56" s="27" t="s">
        <v>51</v>
      </c>
      <c r="D56" s="27" t="s">
        <v>19</v>
      </c>
      <c r="E56" s="28" t="str">
        <f t="shared" si="0"/>
        <v/>
      </c>
      <c r="F56" s="29"/>
      <c r="G56" s="30"/>
      <c r="H56" s="31"/>
      <c r="I56" s="31"/>
    </row>
    <row r="57" ht="16.5" customHeight="1" spans="1:9">
      <c r="A57" s="25"/>
      <c r="B57" s="32" t="s">
        <v>68</v>
      </c>
      <c r="C57" s="33" t="s">
        <v>69</v>
      </c>
      <c r="D57" s="33" t="s">
        <v>70</v>
      </c>
      <c r="E57" s="34" t="str">
        <f t="shared" si="0"/>
        <v/>
      </c>
      <c r="F57" s="29"/>
      <c r="G57" s="30"/>
      <c r="H57" s="35"/>
      <c r="I57" s="35"/>
    </row>
    <row r="58" ht="16.5" customHeight="1" spans="1:9">
      <c r="A58" s="25"/>
      <c r="B58" s="32" t="s">
        <v>68</v>
      </c>
      <c r="C58" s="33" t="s">
        <v>69</v>
      </c>
      <c r="D58" s="33" t="s">
        <v>71</v>
      </c>
      <c r="E58" s="34" t="str">
        <f t="shared" si="0"/>
        <v/>
      </c>
      <c r="F58" s="29"/>
      <c r="G58" s="30"/>
      <c r="H58" s="35"/>
      <c r="I58" s="35"/>
    </row>
    <row r="59" ht="16.5" customHeight="1" spans="1:9">
      <c r="A59" s="25"/>
      <c r="B59" s="32" t="s">
        <v>68</v>
      </c>
      <c r="C59" s="33" t="s">
        <v>69</v>
      </c>
      <c r="D59" s="33" t="s">
        <v>72</v>
      </c>
      <c r="E59" s="34" t="str">
        <f t="shared" si="0"/>
        <v/>
      </c>
      <c r="F59" s="29"/>
      <c r="G59" s="30"/>
      <c r="H59" s="35"/>
      <c r="I59" s="35"/>
    </row>
    <row r="60" ht="16.5" customHeight="1" spans="1:9">
      <c r="A60" s="25"/>
      <c r="B60" s="26" t="s">
        <v>68</v>
      </c>
      <c r="C60" s="27" t="s">
        <v>73</v>
      </c>
      <c r="D60" s="27" t="s">
        <v>70</v>
      </c>
      <c r="E60" s="28" t="str">
        <f t="shared" si="0"/>
        <v/>
      </c>
      <c r="F60" s="29"/>
      <c r="G60" s="30"/>
      <c r="H60" s="31"/>
      <c r="I60" s="31"/>
    </row>
    <row r="61" ht="16.5" customHeight="1" spans="1:9">
      <c r="A61" s="25"/>
      <c r="B61" s="26" t="s">
        <v>68</v>
      </c>
      <c r="C61" s="27" t="s">
        <v>73</v>
      </c>
      <c r="D61" s="27" t="s">
        <v>71</v>
      </c>
      <c r="E61" s="28" t="str">
        <f t="shared" si="0"/>
        <v/>
      </c>
      <c r="F61" s="29"/>
      <c r="G61" s="30"/>
      <c r="H61" s="31"/>
      <c r="I61" s="31"/>
    </row>
    <row r="62" ht="16.5" customHeight="1" spans="1:9">
      <c r="A62" s="25"/>
      <c r="B62" s="26" t="s">
        <v>68</v>
      </c>
      <c r="C62" s="27" t="s">
        <v>73</v>
      </c>
      <c r="D62" s="27" t="s">
        <v>72</v>
      </c>
      <c r="E62" s="28" t="str">
        <f t="shared" si="0"/>
        <v/>
      </c>
      <c r="F62" s="29"/>
      <c r="G62" s="30"/>
      <c r="H62" s="31"/>
      <c r="I62" s="31"/>
    </row>
    <row r="63" ht="16.5" customHeight="1" spans="1:9">
      <c r="A63" s="25"/>
      <c r="B63" s="32" t="s">
        <v>68</v>
      </c>
      <c r="C63" s="33" t="s">
        <v>74</v>
      </c>
      <c r="D63" s="33" t="s">
        <v>71</v>
      </c>
      <c r="E63" s="34" t="str">
        <f t="shared" si="0"/>
        <v/>
      </c>
      <c r="F63" s="29"/>
      <c r="G63" s="30"/>
      <c r="H63" s="35"/>
      <c r="I63" s="35"/>
    </row>
    <row r="64" ht="16.5" customHeight="1" spans="1:9">
      <c r="A64" s="25"/>
      <c r="B64" s="32" t="s">
        <v>68</v>
      </c>
      <c r="C64" s="33" t="s">
        <v>74</v>
      </c>
      <c r="D64" s="33" t="s">
        <v>72</v>
      </c>
      <c r="E64" s="34" t="str">
        <f t="shared" si="0"/>
        <v/>
      </c>
      <c r="F64" s="29"/>
      <c r="G64" s="30"/>
      <c r="H64" s="35"/>
      <c r="I64" s="35"/>
    </row>
    <row r="65" ht="16.5" customHeight="1" spans="1:9">
      <c r="A65" s="25"/>
      <c r="B65" s="32" t="s">
        <v>68</v>
      </c>
      <c r="C65" s="33" t="s">
        <v>74</v>
      </c>
      <c r="D65" s="33" t="s">
        <v>75</v>
      </c>
      <c r="E65" s="34" t="str">
        <f t="shared" si="0"/>
        <v/>
      </c>
      <c r="F65" s="29"/>
      <c r="G65" s="30"/>
      <c r="H65" s="35"/>
      <c r="I65" s="35"/>
    </row>
    <row r="66" ht="16.5" customHeight="1" spans="1:9">
      <c r="A66" s="25"/>
      <c r="B66" s="26" t="s">
        <v>68</v>
      </c>
      <c r="C66" s="27" t="s">
        <v>76</v>
      </c>
      <c r="D66" s="27" t="s">
        <v>75</v>
      </c>
      <c r="E66" s="28" t="str">
        <f t="shared" si="0"/>
        <v/>
      </c>
      <c r="F66" s="29"/>
      <c r="G66" s="30"/>
      <c r="H66" s="31"/>
      <c r="I66" s="31"/>
    </row>
    <row r="67" ht="16.5" customHeight="1" spans="1:9">
      <c r="A67" s="25"/>
      <c r="B67" s="26" t="s">
        <v>68</v>
      </c>
      <c r="C67" s="27" t="s">
        <v>76</v>
      </c>
      <c r="D67" s="27" t="s">
        <v>77</v>
      </c>
      <c r="E67" s="28" t="str">
        <f t="shared" si="0"/>
        <v/>
      </c>
      <c r="F67" s="29"/>
      <c r="G67" s="30"/>
      <c r="H67" s="31"/>
      <c r="I67" s="31"/>
    </row>
    <row r="68" ht="16.5" customHeight="1" spans="1:9">
      <c r="A68" s="25"/>
      <c r="B68" s="26" t="s">
        <v>68</v>
      </c>
      <c r="C68" s="27" t="s">
        <v>76</v>
      </c>
      <c r="D68" s="27" t="s">
        <v>90</v>
      </c>
      <c r="E68" s="28" t="str">
        <f t="shared" ref="E68:E74" si="1">IF($F68="","",$F68*$B$2)</f>
        <v/>
      </c>
      <c r="F68" s="29"/>
      <c r="G68" s="30"/>
      <c r="H68" s="31"/>
      <c r="I68" s="31"/>
    </row>
    <row r="69" ht="16.5" customHeight="1" spans="1:9">
      <c r="A69" s="25"/>
      <c r="B69" s="32" t="s">
        <v>78</v>
      </c>
      <c r="C69" s="33" t="s">
        <v>79</v>
      </c>
      <c r="D69" s="33" t="s">
        <v>80</v>
      </c>
      <c r="E69" s="34" t="str">
        <f t="shared" si="1"/>
        <v/>
      </c>
      <c r="F69" s="29"/>
      <c r="G69" s="30"/>
      <c r="H69" s="35"/>
      <c r="I69" s="35"/>
    </row>
    <row r="70" ht="16.5" customHeight="1" spans="1:9">
      <c r="A70" s="25"/>
      <c r="B70" s="32" t="s">
        <v>78</v>
      </c>
      <c r="C70" s="33" t="s">
        <v>79</v>
      </c>
      <c r="D70" s="33" t="s">
        <v>70</v>
      </c>
      <c r="E70" s="34" t="str">
        <f t="shared" si="1"/>
        <v/>
      </c>
      <c r="F70" s="29"/>
      <c r="G70" s="30"/>
      <c r="H70" s="35"/>
      <c r="I70" s="35"/>
    </row>
    <row r="71" ht="16.5" customHeight="1" spans="1:9">
      <c r="A71" s="25"/>
      <c r="B71" s="26" t="s">
        <v>78</v>
      </c>
      <c r="C71" s="27" t="s">
        <v>82</v>
      </c>
      <c r="D71" s="27" t="s">
        <v>71</v>
      </c>
      <c r="E71" s="28" t="str">
        <f t="shared" si="1"/>
        <v/>
      </c>
      <c r="F71" s="29"/>
      <c r="G71" s="30"/>
      <c r="H71" s="31"/>
      <c r="I71" s="31"/>
    </row>
    <row r="72" ht="16.5" customHeight="1" spans="1:9">
      <c r="A72" s="25"/>
      <c r="B72" s="26" t="s">
        <v>78</v>
      </c>
      <c r="C72" s="27" t="s">
        <v>82</v>
      </c>
      <c r="D72" s="27" t="s">
        <v>72</v>
      </c>
      <c r="E72" s="28" t="str">
        <f t="shared" si="1"/>
        <v/>
      </c>
      <c r="F72" s="29"/>
      <c r="G72" s="30"/>
      <c r="H72" s="31"/>
      <c r="I72" s="31"/>
    </row>
    <row r="73" ht="16.5" customHeight="1" spans="1:9">
      <c r="A73" s="25"/>
      <c r="B73" s="32" t="s">
        <v>78</v>
      </c>
      <c r="C73" s="33" t="s">
        <v>83</v>
      </c>
      <c r="D73" s="33" t="s">
        <v>72</v>
      </c>
      <c r="E73" s="34" t="str">
        <f t="shared" si="1"/>
        <v/>
      </c>
      <c r="F73" s="29"/>
      <c r="G73" s="30"/>
      <c r="H73" s="35"/>
      <c r="I73" s="35"/>
    </row>
    <row r="74" ht="16.5" customHeight="1" spans="1:9">
      <c r="A74" s="25"/>
      <c r="B74" s="32" t="s">
        <v>78</v>
      </c>
      <c r="C74" s="33" t="s">
        <v>83</v>
      </c>
      <c r="D74" s="33" t="s">
        <v>75</v>
      </c>
      <c r="E74" s="34" t="str">
        <f t="shared" si="1"/>
        <v/>
      </c>
      <c r="F74" s="29"/>
      <c r="G74" s="30"/>
      <c r="H74" s="35"/>
      <c r="I74" s="35"/>
    </row>
  </sheetData>
  <autoFilter xmlns:etc="http://www.wps.cn/officeDocument/2017/etCustomData" ref="A3:I74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workbookViewId="0">
      <selection activeCell="A1" sqref="A1"/>
    </sheetView>
  </sheetViews>
  <sheetFormatPr defaultColWidth="8.71875" defaultRowHeight="16.8" outlineLevelCol="7"/>
  <cols>
    <col min="1" max="1" width="24" style="1" customWidth="1"/>
    <col min="2" max="2" width="16" style="1" customWidth="1"/>
    <col min="3" max="3" width="24" style="1" customWidth="1"/>
    <col min="4" max="8" width="9" style="1" customWidth="1"/>
  </cols>
  <sheetData>
    <row r="1" ht="19.5" customHeight="1" spans="1:8">
      <c r="A1" s="2" t="s">
        <v>106</v>
      </c>
    </row>
    <row r="2" ht="16.5" customHeight="1" spans="1:8">
      <c r="A2" s="3" t="s">
        <v>107</v>
      </c>
    </row>
    <row r="4" ht="16.5" customHeight="1" spans="1:8">
      <c r="A4" s="4" t="s">
        <v>108</v>
      </c>
    </row>
    <row r="5" ht="25.5" customHeight="1" spans="1:8">
      <c r="A5" s="5" t="s">
        <v>109</v>
      </c>
      <c r="B5" s="6" t="s">
        <v>110</v>
      </c>
      <c r="C5" s="7" t="s">
        <v>111</v>
      </c>
      <c r="D5" s="8" t="s">
        <v>112</v>
      </c>
      <c r="E5" s="9" t="s">
        <v>113</v>
      </c>
    </row>
    <row r="6" ht="16.5" customHeight="1" spans="1:8">
      <c r="A6" s="10" t="s">
        <v>114</v>
      </c>
    </row>
    <row r="8" ht="16.5" customHeight="1" spans="1:8">
      <c r="A8" s="11" t="s">
        <v>115</v>
      </c>
    </row>
    <row r="9" ht="16.5" customHeight="1" spans="1:8">
      <c r="A9" s="12" t="s">
        <v>116</v>
      </c>
    </row>
    <row r="11" ht="16.5" customHeight="1" spans="1:8">
      <c r="A11" s="11" t="s">
        <v>117</v>
      </c>
    </row>
    <row r="12" ht="16.5" customHeight="1" spans="1:8">
      <c r="A12" s="13" t="s">
        <v>118</v>
      </c>
    </row>
    <row r="14" ht="16.5" customHeight="1" spans="1:8">
      <c r="A14" s="11" t="s">
        <v>119</v>
      </c>
    </row>
    <row r="15" ht="16.5" customHeight="1" spans="1:8">
      <c r="A15" s="14" t="s">
        <v>3</v>
      </c>
      <c r="B15" s="15" t="s">
        <v>13</v>
      </c>
      <c r="C15" s="15" t="s">
        <v>24</v>
      </c>
      <c r="D15" s="15" t="s">
        <v>27</v>
      </c>
      <c r="E15" s="15" t="s">
        <v>50</v>
      </c>
      <c r="F15" s="15" t="s">
        <v>62</v>
      </c>
      <c r="G15" s="15" t="s">
        <v>68</v>
      </c>
      <c r="H15" s="15" t="s">
        <v>78</v>
      </c>
    </row>
    <row r="16" ht="16.5" customHeight="1" spans="1:8">
      <c r="A16" s="16" t="s">
        <v>12</v>
      </c>
      <c r="B16" s="17" t="s">
        <v>120</v>
      </c>
      <c r="C16" s="17" t="s">
        <v>120</v>
      </c>
      <c r="D16" s="17" t="s">
        <v>120</v>
      </c>
      <c r="E16" s="17" t="s">
        <v>120</v>
      </c>
      <c r="F16" s="17" t="s">
        <v>120</v>
      </c>
      <c r="G16" s="17" t="s">
        <v>120</v>
      </c>
      <c r="H16" s="17" t="s">
        <v>120</v>
      </c>
    </row>
    <row r="17" ht="16.5" customHeight="1" spans="1:8">
      <c r="A17" s="18" t="s">
        <v>86</v>
      </c>
      <c r="B17" s="17" t="s">
        <v>120</v>
      </c>
      <c r="C17" s="17" t="s">
        <v>120</v>
      </c>
      <c r="D17" s="17" t="s">
        <v>120</v>
      </c>
      <c r="E17" s="17" t="s">
        <v>120</v>
      </c>
      <c r="F17" s="17" t="s">
        <v>120</v>
      </c>
      <c r="G17" s="17" t="s">
        <v>120</v>
      </c>
      <c r="H17" s="17" t="s">
        <v>120</v>
      </c>
    </row>
    <row r="18" ht="16.5" customHeight="1" spans="1:8">
      <c r="A18" s="16" t="s">
        <v>93</v>
      </c>
      <c r="B18" s="17" t="s">
        <v>120</v>
      </c>
      <c r="C18" s="17" t="s">
        <v>120</v>
      </c>
      <c r="D18" s="17" t="s">
        <v>120</v>
      </c>
      <c r="E18" s="17" t="s">
        <v>120</v>
      </c>
      <c r="F18" s="17" t="s">
        <v>120</v>
      </c>
      <c r="G18" s="17" t="s">
        <v>120</v>
      </c>
      <c r="H18" s="17" t="s">
        <v>120</v>
      </c>
    </row>
    <row r="19" ht="16.5" customHeight="1" spans="1:8">
      <c r="A19" s="16" t="s">
        <v>96</v>
      </c>
      <c r="B19" s="17" t="s">
        <v>120</v>
      </c>
      <c r="C19" s="19" t="s">
        <v>14</v>
      </c>
      <c r="D19" s="17" t="s">
        <v>120</v>
      </c>
      <c r="E19" s="19" t="s">
        <v>14</v>
      </c>
      <c r="F19" s="19" t="s">
        <v>14</v>
      </c>
      <c r="G19" s="19" t="s">
        <v>14</v>
      </c>
      <c r="H19" s="19" t="s">
        <v>14</v>
      </c>
    </row>
    <row r="20" ht="16.5" customHeight="1" spans="1:8">
      <c r="A20" s="16" t="s">
        <v>98</v>
      </c>
      <c r="B20" s="17" t="s">
        <v>120</v>
      </c>
      <c r="C20" s="17" t="s">
        <v>120</v>
      </c>
      <c r="D20" s="19" t="s">
        <v>14</v>
      </c>
      <c r="E20" s="19" t="s">
        <v>14</v>
      </c>
      <c r="F20" s="19" t="s">
        <v>14</v>
      </c>
      <c r="G20" s="19" t="s">
        <v>14</v>
      </c>
      <c r="H20" s="19" t="s">
        <v>14</v>
      </c>
    </row>
    <row r="21" ht="16.5" customHeight="1" spans="1:8">
      <c r="A21" s="16" t="s">
        <v>100</v>
      </c>
      <c r="B21" s="17" t="s">
        <v>120</v>
      </c>
      <c r="C21" s="17" t="s">
        <v>120</v>
      </c>
      <c r="D21" s="17" t="s">
        <v>120</v>
      </c>
      <c r="E21" s="19" t="s">
        <v>14</v>
      </c>
      <c r="F21" s="19" t="s">
        <v>14</v>
      </c>
      <c r="G21" s="19" t="s">
        <v>14</v>
      </c>
      <c r="H21" s="19" t="s">
        <v>14</v>
      </c>
    </row>
    <row r="22" ht="16.5" customHeight="1" spans="1:8">
      <c r="A22" s="16" t="s">
        <v>102</v>
      </c>
      <c r="B22" s="19" t="s">
        <v>14</v>
      </c>
      <c r="C22" s="19" t="s">
        <v>14</v>
      </c>
      <c r="D22" s="19" t="s">
        <v>14</v>
      </c>
      <c r="E22" s="19" t="s">
        <v>14</v>
      </c>
      <c r="F22" s="17" t="s">
        <v>120</v>
      </c>
      <c r="G22" s="17" t="s">
        <v>120</v>
      </c>
      <c r="H22" s="19" t="s">
        <v>14</v>
      </c>
    </row>
    <row r="23" ht="16.5" customHeight="1" spans="1:8">
      <c r="A23" s="16" t="s">
        <v>121</v>
      </c>
      <c r="B23" s="17" t="s">
        <v>120</v>
      </c>
      <c r="C23" s="17" t="s">
        <v>120</v>
      </c>
      <c r="D23" s="17" t="s">
        <v>120</v>
      </c>
      <c r="E23" s="17" t="s">
        <v>120</v>
      </c>
      <c r="F23" s="17" t="s">
        <v>120</v>
      </c>
      <c r="G23" s="17" t="s">
        <v>120</v>
      </c>
      <c r="H23" s="17" t="s">
        <v>120</v>
      </c>
    </row>
    <row r="25" ht="16.5" customHeight="1" spans="1:8">
      <c r="A25" s="11" t="s">
        <v>122</v>
      </c>
    </row>
    <row r="26" ht="16.5" customHeight="1" spans="1:8">
      <c r="A26" s="14" t="s">
        <v>4</v>
      </c>
      <c r="B26" s="14" t="s">
        <v>123</v>
      </c>
      <c r="C26" s="14" t="s">
        <v>124</v>
      </c>
    </row>
    <row r="27" ht="16.5" customHeight="1" spans="1:8">
      <c r="A27" s="18" t="s">
        <v>125</v>
      </c>
      <c r="B27" s="16" t="s">
        <v>126</v>
      </c>
      <c r="C27" s="18" t="s">
        <v>127</v>
      </c>
    </row>
    <row r="28" ht="16.5" customHeight="1" spans="1:8">
      <c r="A28" s="18" t="s">
        <v>62</v>
      </c>
      <c r="B28" s="16" t="s">
        <v>128</v>
      </c>
      <c r="C28" s="18" t="s">
        <v>129</v>
      </c>
    </row>
    <row r="29" ht="16.5" customHeight="1" spans="1:8">
      <c r="A29" s="18" t="s">
        <v>130</v>
      </c>
      <c r="B29" s="18" t="s">
        <v>131</v>
      </c>
      <c r="C29" s="18" t="s">
        <v>132</v>
      </c>
    </row>
    <row r="30" ht="16.5" customHeight="1" spans="1:8">
      <c r="A30" s="18" t="s">
        <v>133</v>
      </c>
      <c r="B30" s="16" t="s">
        <v>134</v>
      </c>
      <c r="C30" s="18" t="s">
        <v>135</v>
      </c>
    </row>
    <row r="32" ht="16.5" customHeight="1" spans="1:8">
      <c r="A32" s="11" t="s">
        <v>136</v>
      </c>
    </row>
    <row r="33" ht="16.5" customHeight="1" spans="1:1">
      <c r="A33" s="13" t="s">
        <v>137</v>
      </c>
    </row>
    <row r="34" ht="16.5" customHeight="1" spans="1:1">
      <c r="A34" s="13" t="s">
        <v>138</v>
      </c>
    </row>
    <row r="35" ht="16.5" customHeight="1" spans="1:1">
      <c r="A35" s="13" t="s">
        <v>139</v>
      </c>
    </row>
    <row r="36" ht="16.5" customHeight="1" spans="1:1">
      <c r="A36" s="13" t="s">
        <v>140</v>
      </c>
    </row>
    <row r="37" ht="16.5" customHeight="1" spans="1:1">
      <c r="A37" s="13" t="s">
        <v>141</v>
      </c>
    </row>
    <row r="38" ht="16.5" customHeight="1" spans="1:1">
      <c r="A38" s="13" t="s">
        <v>142</v>
      </c>
    </row>
    <row r="39" ht="16.5" customHeight="1" spans="1:1">
      <c r="A39" s="20" t="s">
        <v>143</v>
      </c>
    </row>
    <row r="40" ht="16.5" customHeight="1" spans="1:1">
      <c r="A40" s="13" t="s">
        <v>144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Samsung</vt:lpstr>
      <vt:lpstr>SK Hynix</vt:lpstr>
      <vt:lpstr>Micron</vt:lpstr>
      <vt:lpstr>Kingston</vt:lpstr>
      <vt:lpstr>Toshiba Kioxia</vt:lpstr>
      <vt:lpstr>SanDisk</vt:lpstr>
      <vt:lpstr>Nanya</vt:lpstr>
      <vt:lpstr>Other Brands</vt:lpstr>
      <vt:lpstr>Instructions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raphaelsilvabastos</cp:lastModifiedBy>
  <cp:revision>0</cp:revision>
  <dcterms:created xsi:type="dcterms:W3CDTF">2026-06-25T07:28:00Z</dcterms:created>
  <dcterms:modified xsi:type="dcterms:W3CDTF">2026-07-06T15:26:42Z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AF6B6B7FCFA38B1562F34B6A09B496C2_43</vt:lpwstr>
  </property>
  <property fmtid="{D5CDD505-2E9C-101B-9397-08002B2CF9AE}" pid="4" name="KSOProductBuildVer">
    <vt:lpwstr>1033-12.1.26015.26015</vt:lpwstr>
  </property>
</Properties>
</file>